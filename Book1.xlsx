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eep\Downloads\Claudes\SalaryReview\"/>
    </mc:Choice>
  </mc:AlternateContent>
  <xr:revisionPtr revIDLastSave="0" documentId="13_ncr:1_{7F665A86-94D5-4429-8196-2FC71456C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I24" i="1"/>
  <c r="H24" i="1"/>
  <c r="G24" i="1"/>
  <c r="E24" i="1"/>
  <c r="D24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R27" i="1"/>
  <c r="P24" i="1"/>
  <c r="O24" i="1"/>
  <c r="N24" i="1"/>
  <c r="L24" i="1"/>
  <c r="B24" i="1"/>
  <c r="R24" i="1"/>
</calcChain>
</file>

<file path=xl/sharedStrings.xml><?xml version="1.0" encoding="utf-8"?>
<sst xmlns="http://schemas.openxmlformats.org/spreadsheetml/2006/main" count="119" uniqueCount="71">
  <si>
    <t>Tech</t>
  </si>
  <si>
    <t>Sonali</t>
  </si>
  <si>
    <t>KumarSwamy</t>
  </si>
  <si>
    <t>Sanket</t>
  </si>
  <si>
    <t>Ayush Kharpuse</t>
  </si>
  <si>
    <t>Priya Chherke</t>
  </si>
  <si>
    <t>Manish Pathe</t>
  </si>
  <si>
    <t>Harshwardhan</t>
  </si>
  <si>
    <t>Yashraj Talokar</t>
  </si>
  <si>
    <t>Vivek Jadav</t>
  </si>
  <si>
    <t>Kritika Wadhwa</t>
  </si>
  <si>
    <t>Jayesh Jaiswal</t>
  </si>
  <si>
    <t>Tejas Mahadik</t>
  </si>
  <si>
    <t>Krishna</t>
  </si>
  <si>
    <t>Prajwal C</t>
  </si>
  <si>
    <t>Amatullah</t>
  </si>
  <si>
    <t>Shruti Kokate</t>
  </si>
  <si>
    <t>Start Date</t>
  </si>
  <si>
    <t>05 January 2017</t>
  </si>
  <si>
    <t>19 February 2024</t>
  </si>
  <si>
    <t>20 August 2024</t>
  </si>
  <si>
    <t>15 January 2024</t>
  </si>
  <si>
    <t>01 December 2023</t>
  </si>
  <si>
    <t>05 July 2024</t>
  </si>
  <si>
    <t>02 September 2024</t>
  </si>
  <si>
    <t>Joining Salary</t>
  </si>
  <si>
    <t>Review 2017</t>
  </si>
  <si>
    <t>Salary Before Review-18</t>
  </si>
  <si>
    <t>Review 2018</t>
  </si>
  <si>
    <t>Salary Before Review-19</t>
  </si>
  <si>
    <t>Review 2019</t>
  </si>
  <si>
    <t>Salary Before Review-20</t>
  </si>
  <si>
    <t>Review 2020</t>
  </si>
  <si>
    <t>N/A</t>
  </si>
  <si>
    <t>Salary Before Review-21</t>
  </si>
  <si>
    <t>Reveiw 2021</t>
  </si>
  <si>
    <t>Salary Before Review-22</t>
  </si>
  <si>
    <t>Reveiw 2022</t>
  </si>
  <si>
    <t>Salary Before Review-23</t>
  </si>
  <si>
    <t>Review 23</t>
  </si>
  <si>
    <t>Aug-23</t>
  </si>
  <si>
    <t>Salary Before Review-24</t>
  </si>
  <si>
    <t>1958000</t>
  </si>
  <si>
    <t>Review 24</t>
  </si>
  <si>
    <t>Aug-24</t>
  </si>
  <si>
    <t>Jun 24</t>
  </si>
  <si>
    <t>Salary Before Review-25</t>
  </si>
  <si>
    <t>Review 2025</t>
  </si>
  <si>
    <t>No Review</t>
  </si>
  <si>
    <t>Salary Befor Review-26</t>
  </si>
  <si>
    <t>Review-26</t>
  </si>
  <si>
    <t>Salary Befor Review-27</t>
  </si>
  <si>
    <t xml:space="preserve"> 17,60,000</t>
  </si>
  <si>
    <t>NA</t>
  </si>
  <si>
    <t xml:space="preserve"> 4,60,000</t>
  </si>
  <si>
    <t>Amount</t>
  </si>
  <si>
    <t>50 K</t>
  </si>
  <si>
    <t>1.5 Lakhs</t>
  </si>
  <si>
    <t>NA.already done</t>
  </si>
  <si>
    <t>Resigned</t>
  </si>
  <si>
    <t>1.1 Lakhs</t>
  </si>
  <si>
    <t>Percent</t>
  </si>
  <si>
    <t>Month Effective</t>
  </si>
  <si>
    <t>Current Salary</t>
  </si>
  <si>
    <t>Remark</t>
  </si>
  <si>
    <t>Done in June 25</t>
  </si>
  <si>
    <t>As per offer(Oct -After 3M / Jan-After 6M of joining)</t>
  </si>
  <si>
    <t>As per offer(Dec -After 3M / March-After 6M of joining)</t>
  </si>
  <si>
    <t>As per offer(Sep-After 3M of Joining)</t>
  </si>
  <si>
    <t>Review-27</t>
  </si>
  <si>
    <t>Shubham Dixit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</si>
</sst>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m\ yyyy"/>
    <numFmt numFmtId="165" formatCode="d\ mmmm\ yyyy"/>
    <numFmt numFmtId="166" formatCode="mmm\ yyyy"/>
    <numFmt numFmtId="167" formatCode="mmm\-yyyy"/>
    <numFmt numFmtId="168" formatCode="mmm\-d"/>
    <numFmt numFmtId="169" formatCode="&quot;₹&quot;\ #,##0"/>
  </numFmts>
  <fonts count="8" x14ac:knownFonts="1">
    <font>
      <sz val="11"/>
      <color theme="1"/>
      <name val="Aptos Narrow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indexed="64"/>
      <name val="Calibri"/>
    </font>
    <font>
      <b/>
      <sz val="12"/>
      <color indexed="64"/>
      <name val="Calibri"/>
    </font>
    <font>
      <b/>
      <sz val="12"/>
      <color indexed="2"/>
      <name val="Calibri"/>
    </font>
    <font>
      <sz val="11"/>
      <color theme="1"/>
      <name val="Aptos Narrow"/>
      <scheme val="minor"/>
    </font>
    <font>
      <sz val="12"/>
      <color indexed="6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/>
    <xf numFmtId="9" fontId="6" fillId="0" borderId="0" applyFont="0" applyFill="0" applyBorder="0" applyProtection="0"/>
  </cellStyleXfs>
  <cellXfs count="33">
    <xf numFmtId="0" fontId="0" fillId="0" borderId="0" xfId="0"/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2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0" xfId="0" applyNumberFormat="1" applyFont="1"/>
    <xf numFmtId="0" fontId="3" fillId="2" borderId="0" xfId="0" applyFont="1" applyFill="1" applyAlignment="1">
      <alignment vertical="top" wrapText="1"/>
    </xf>
    <xf numFmtId="166" fontId="2" fillId="0" borderId="0" xfId="0" applyNumberFormat="1" applyFont="1"/>
    <xf numFmtId="167" fontId="3" fillId="2" borderId="0" xfId="0" applyNumberFormat="1" applyFont="1" applyFill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2" fillId="0" borderId="0" xfId="0" applyNumberFormat="1" applyFont="1"/>
    <xf numFmtId="0" fontId="1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68" fontId="2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9" fontId="4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/>
    </xf>
    <xf numFmtId="169" fontId="0" fillId="0" borderId="0" xfId="0" applyNumberFormat="1"/>
    <xf numFmtId="9" fontId="4" fillId="0" borderId="0" xfId="1" applyFont="1" applyAlignment="1">
      <alignment horizontal="right"/>
    </xf>
    <xf numFmtId="9" fontId="5" fillId="0" borderId="0" xfId="1" applyFont="1" applyAlignment="1">
      <alignment horizontal="right"/>
    </xf>
    <xf numFmtId="17" fontId="4" fillId="0" borderId="0" xfId="0" applyNumberFormat="1" applyFont="1" applyAlignment="1">
      <alignment horizontal="right"/>
    </xf>
    <xf numFmtId="17" fontId="1" fillId="0" borderId="0" xfId="0" applyNumberFormat="1" applyFont="1" applyAlignment="1">
      <alignment horizontal="right"/>
    </xf>
    <xf numFmtId="0" fontId="4" fillId="0" borderId="0" xfId="0" applyFont="1" applyAlignment="1">
      <alignment horizontal="right" wrapText="1"/>
    </xf>
    <xf numFmtId="1" fontId="7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nlyoffice.com/jsaProject" Target="js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K14" workbookViewId="0">
      <selection activeCell="Q24" sqref="Q24"/>
    </sheetView>
  </sheetViews>
  <sheetFormatPr defaultRowHeight="14.4" x14ac:dyDescent="0.3"/>
  <cols>
    <col min="1" max="1" width="38" customWidth="1"/>
    <col min="2" max="2" width="17.21875" bestFit="1" customWidth="1"/>
    <col min="3" max="3" width="15.33203125" customWidth="1"/>
    <col min="4" max="4" width="16" customWidth="1"/>
    <col min="5" max="5" width="18.33203125" customWidth="1"/>
    <col min="6" max="6" width="15.88671875" customWidth="1"/>
    <col min="7" max="7" width="15.88671875" bestFit="1" customWidth="1"/>
    <col min="8" max="8" width="26.77734375" customWidth="1"/>
    <col min="9" max="9" width="50.109375" bestFit="1" customWidth="1"/>
    <col min="10" max="10" width="53.21875" bestFit="1" customWidth="1"/>
    <col min="11" max="11" width="19.109375" bestFit="1" customWidth="1"/>
    <col min="12" max="13" width="35.5546875" bestFit="1" customWidth="1"/>
    <col min="14" max="14" width="13.33203125" bestFit="1" customWidth="1"/>
    <col min="15" max="15" width="13.109375" bestFit="1" customWidth="1"/>
    <col min="16" max="16" width="15.33203125" bestFit="1" customWidth="1"/>
    <col min="17" max="17" width="18.33203125" bestFit="1" customWidth="1"/>
    <col min="18" max="18" width="16.109375" bestFit="1" customWidth="1"/>
  </cols>
  <sheetData>
    <row r="1" spans="1:18" ht="15.6" x14ac:dyDescent="0.3">
      <c r="A1" s="1" t="s">
        <v>0</v>
      </c>
      <c r="B1" s="3" t="s">
        <v>2</v>
      </c>
      <c r="C1" s="32" t="s">
        <v>70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5" t="s">
        <v>16</v>
      </c>
      <c r="R1" s="2" t="s">
        <v>1</v>
      </c>
    </row>
    <row r="2" spans="1:18" ht="15.6" x14ac:dyDescent="0.3">
      <c r="A2" s="1" t="s">
        <v>17</v>
      </c>
      <c r="B2" s="2" t="s">
        <v>19</v>
      </c>
      <c r="C2" s="2" t="s">
        <v>20</v>
      </c>
      <c r="D2" s="2" t="s">
        <v>21</v>
      </c>
      <c r="E2" s="2" t="s">
        <v>22</v>
      </c>
      <c r="F2" s="6">
        <v>45078</v>
      </c>
      <c r="G2" s="6">
        <v>45078</v>
      </c>
      <c r="H2" s="2" t="s">
        <v>23</v>
      </c>
      <c r="I2" s="2" t="s">
        <v>23</v>
      </c>
      <c r="J2" s="2" t="s">
        <v>24</v>
      </c>
      <c r="K2" s="7">
        <v>45551</v>
      </c>
      <c r="L2" s="7">
        <v>45796</v>
      </c>
      <c r="M2" s="6">
        <v>45814</v>
      </c>
      <c r="N2" s="6">
        <v>45809</v>
      </c>
      <c r="O2" s="7">
        <v>45820</v>
      </c>
      <c r="P2" s="7">
        <v>45880</v>
      </c>
      <c r="Q2" s="7">
        <v>45642</v>
      </c>
      <c r="R2" s="2" t="s">
        <v>18</v>
      </c>
    </row>
    <row r="3" spans="1:18" ht="15.6" x14ac:dyDescent="0.3">
      <c r="A3" s="1" t="s">
        <v>25</v>
      </c>
      <c r="B3" s="8">
        <v>1600000</v>
      </c>
      <c r="C3" s="8">
        <v>1600000</v>
      </c>
      <c r="D3" s="8">
        <v>1050000</v>
      </c>
      <c r="E3" s="8">
        <v>550000</v>
      </c>
      <c r="F3" s="8">
        <v>500000</v>
      </c>
      <c r="G3" s="8">
        <v>500000</v>
      </c>
      <c r="H3" s="8">
        <v>750000</v>
      </c>
      <c r="I3" s="8">
        <v>750000</v>
      </c>
      <c r="J3" s="8">
        <v>750000</v>
      </c>
      <c r="K3" s="8">
        <v>1600000</v>
      </c>
      <c r="L3" s="8">
        <v>800000</v>
      </c>
      <c r="M3" s="8">
        <v>800000</v>
      </c>
      <c r="N3" s="8">
        <v>350000</v>
      </c>
      <c r="O3" s="8">
        <v>400000</v>
      </c>
      <c r="P3" s="8">
        <v>700000</v>
      </c>
      <c r="Q3" s="8">
        <v>350000</v>
      </c>
      <c r="R3" s="11">
        <v>280000</v>
      </c>
    </row>
    <row r="4" spans="1:18" ht="15.6" x14ac:dyDescent="0.3">
      <c r="A4" s="1" t="s">
        <v>26</v>
      </c>
      <c r="B4" s="10"/>
      <c r="C4" s="5"/>
      <c r="D4" s="5"/>
      <c r="E4" s="10"/>
      <c r="F4" s="10"/>
      <c r="G4" s="10"/>
      <c r="H4" s="5"/>
      <c r="I4" s="5"/>
      <c r="J4" s="5"/>
      <c r="K4" s="5"/>
      <c r="L4" s="5"/>
      <c r="M4" s="5"/>
      <c r="N4" s="5"/>
      <c r="O4" s="5"/>
      <c r="P4" s="5"/>
      <c r="Q4" s="5"/>
      <c r="R4" s="9">
        <v>42795</v>
      </c>
    </row>
    <row r="5" spans="1:18" ht="15.6" x14ac:dyDescent="0.3">
      <c r="A5" s="1" t="s">
        <v>27</v>
      </c>
      <c r="B5" s="10"/>
      <c r="C5" s="5"/>
      <c r="D5" s="5"/>
      <c r="E5" s="10"/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11">
        <v>280000</v>
      </c>
    </row>
    <row r="6" spans="1:18" ht="15.6" x14ac:dyDescent="0.3">
      <c r="A6" s="1" t="s">
        <v>28</v>
      </c>
      <c r="B6" s="10"/>
      <c r="C6" s="5"/>
      <c r="D6" s="5"/>
      <c r="E6" s="10"/>
      <c r="F6" s="10"/>
      <c r="G6" s="10"/>
      <c r="H6" s="5"/>
      <c r="I6" s="5"/>
      <c r="J6" s="5"/>
      <c r="K6" s="5"/>
      <c r="L6" s="5"/>
      <c r="M6" s="5"/>
      <c r="N6" s="5"/>
      <c r="O6" s="5"/>
      <c r="P6" s="5"/>
      <c r="Q6" s="5"/>
      <c r="R6" s="12">
        <v>43191</v>
      </c>
    </row>
    <row r="7" spans="1:18" ht="15.6" x14ac:dyDescent="0.3">
      <c r="A7" s="1" t="s">
        <v>29</v>
      </c>
      <c r="B7" s="10"/>
      <c r="C7" s="5"/>
      <c r="D7" s="5"/>
      <c r="E7" s="10"/>
      <c r="F7" s="10"/>
      <c r="G7" s="10"/>
      <c r="H7" s="5"/>
      <c r="I7" s="5"/>
      <c r="J7" s="5"/>
      <c r="K7" s="5"/>
      <c r="L7" s="5"/>
      <c r="M7" s="5"/>
      <c r="N7" s="5"/>
      <c r="O7" s="5"/>
      <c r="P7" s="5"/>
      <c r="Q7" s="5"/>
      <c r="R7" s="13">
        <v>470000</v>
      </c>
    </row>
    <row r="8" spans="1:18" ht="15.6" x14ac:dyDescent="0.3">
      <c r="A8" s="1" t="s">
        <v>30</v>
      </c>
      <c r="B8" s="10"/>
      <c r="C8" s="5"/>
      <c r="D8" s="5"/>
      <c r="E8" s="10"/>
      <c r="F8" s="10"/>
      <c r="G8" s="10"/>
      <c r="H8" s="5"/>
      <c r="I8" s="5"/>
      <c r="J8" s="5"/>
      <c r="K8" s="5"/>
      <c r="L8" s="5"/>
      <c r="M8" s="5"/>
      <c r="N8" s="5"/>
      <c r="O8" s="5"/>
      <c r="P8" s="5"/>
      <c r="Q8" s="5"/>
      <c r="R8" s="14">
        <v>43709</v>
      </c>
    </row>
    <row r="9" spans="1:18" ht="15.6" x14ac:dyDescent="0.3">
      <c r="A9" s="1" t="s">
        <v>31</v>
      </c>
      <c r="B9" s="10"/>
      <c r="C9" s="5"/>
      <c r="D9" s="5"/>
      <c r="E9" s="10"/>
      <c r="F9" s="10"/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13">
        <v>740000</v>
      </c>
    </row>
    <row r="10" spans="1:18" ht="15.6" x14ac:dyDescent="0.3">
      <c r="A10" s="1" t="s">
        <v>32</v>
      </c>
      <c r="B10" s="10"/>
      <c r="C10" s="5"/>
      <c r="D10" s="5"/>
      <c r="E10" s="10"/>
      <c r="F10" s="10"/>
      <c r="G10" s="10"/>
      <c r="H10" s="5"/>
      <c r="I10" s="5"/>
      <c r="J10" s="5"/>
      <c r="K10" s="5"/>
      <c r="L10" s="5"/>
      <c r="M10" s="5"/>
      <c r="N10" s="5"/>
      <c r="O10" s="5"/>
      <c r="P10" s="5"/>
      <c r="Q10" s="5"/>
      <c r="R10" s="10" t="s">
        <v>33</v>
      </c>
    </row>
    <row r="11" spans="1:18" ht="15.6" x14ac:dyDescent="0.3">
      <c r="A11" s="1" t="s">
        <v>34</v>
      </c>
      <c r="B11" s="10"/>
      <c r="C11" s="5"/>
      <c r="D11" s="5"/>
      <c r="E11" s="10"/>
      <c r="F11" s="10"/>
      <c r="G11" s="10"/>
      <c r="H11" s="5"/>
      <c r="I11" s="5"/>
      <c r="J11" s="5"/>
      <c r="K11" s="5"/>
      <c r="L11" s="5"/>
      <c r="M11" s="5"/>
      <c r="N11" s="5"/>
      <c r="O11" s="5"/>
      <c r="P11" s="5"/>
      <c r="Q11" s="5"/>
      <c r="R11" s="13">
        <v>740000</v>
      </c>
    </row>
    <row r="12" spans="1:18" ht="15.6" x14ac:dyDescent="0.3">
      <c r="A12" s="1" t="s">
        <v>35</v>
      </c>
      <c r="B12" s="10"/>
      <c r="C12" s="5"/>
      <c r="D12" s="5"/>
      <c r="E12" s="10"/>
      <c r="F12" s="10"/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12">
        <v>44287</v>
      </c>
    </row>
    <row r="13" spans="1:18" ht="15.6" x14ac:dyDescent="0.3">
      <c r="A13" s="1" t="s">
        <v>36</v>
      </c>
      <c r="B13" s="10"/>
      <c r="C13" s="5"/>
      <c r="D13" s="5"/>
      <c r="E13" s="10"/>
      <c r="F13" s="10"/>
      <c r="G13" s="10"/>
      <c r="H13" s="5"/>
      <c r="I13" s="5"/>
      <c r="J13" s="5"/>
      <c r="K13" s="5"/>
      <c r="L13" s="5"/>
      <c r="M13" s="5"/>
      <c r="N13" s="5"/>
      <c r="O13" s="5"/>
      <c r="P13" s="5"/>
      <c r="Q13" s="5"/>
      <c r="R13" s="13">
        <v>1036000</v>
      </c>
    </row>
    <row r="14" spans="1:18" ht="15.6" x14ac:dyDescent="0.3">
      <c r="A14" s="1" t="s">
        <v>37</v>
      </c>
      <c r="B14" s="10"/>
      <c r="C14" s="5"/>
      <c r="D14" s="5"/>
      <c r="E14" s="10"/>
      <c r="F14" s="10"/>
      <c r="G14" s="10"/>
      <c r="H14" s="5"/>
      <c r="I14" s="5"/>
      <c r="J14" s="5"/>
      <c r="K14" s="5"/>
      <c r="L14" s="5"/>
      <c r="M14" s="5"/>
      <c r="N14" s="5"/>
      <c r="O14" s="5"/>
      <c r="P14" s="5"/>
      <c r="Q14" s="5"/>
      <c r="R14" s="15">
        <v>44774</v>
      </c>
    </row>
    <row r="15" spans="1:18" ht="15.6" x14ac:dyDescent="0.3">
      <c r="A15" s="1" t="s">
        <v>38</v>
      </c>
      <c r="B15" s="10"/>
      <c r="C15" s="5"/>
      <c r="D15" s="5"/>
      <c r="E15" s="10"/>
      <c r="F15" s="10"/>
      <c r="G15" s="10"/>
      <c r="H15" s="5"/>
      <c r="I15" s="5"/>
      <c r="J15" s="5"/>
      <c r="K15" s="5"/>
      <c r="L15" s="5"/>
      <c r="M15" s="5"/>
      <c r="N15" s="5"/>
      <c r="O15" s="5"/>
      <c r="P15" s="5"/>
      <c r="Q15" s="5"/>
      <c r="R15" s="16">
        <v>1398600</v>
      </c>
    </row>
    <row r="16" spans="1:18" ht="15.6" x14ac:dyDescent="0.3">
      <c r="A16" s="1" t="s">
        <v>39</v>
      </c>
      <c r="B16" s="10"/>
      <c r="C16" s="5"/>
      <c r="D16" s="5"/>
      <c r="E16" s="10"/>
      <c r="F16" s="10"/>
      <c r="G16" s="10"/>
      <c r="H16" s="5"/>
      <c r="I16" s="5"/>
      <c r="J16" s="5"/>
      <c r="K16" s="5"/>
      <c r="L16" s="5"/>
      <c r="M16" s="5"/>
      <c r="N16" s="5"/>
      <c r="O16" s="5"/>
      <c r="P16" s="5"/>
      <c r="Q16" s="5"/>
      <c r="R16" s="17" t="s">
        <v>40</v>
      </c>
    </row>
    <row r="17" spans="1:20" ht="15.6" x14ac:dyDescent="0.3">
      <c r="A17" s="1" t="s">
        <v>41</v>
      </c>
      <c r="B17" s="10">
        <v>1600000</v>
      </c>
      <c r="C17" s="5"/>
      <c r="D17" s="5"/>
      <c r="E17" s="10">
        <v>550000</v>
      </c>
      <c r="F17" s="10">
        <v>650000</v>
      </c>
      <c r="G17" s="10">
        <v>650000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17" t="s">
        <v>42</v>
      </c>
    </row>
    <row r="18" spans="1:20" ht="15.6" x14ac:dyDescent="0.3">
      <c r="A18" s="1" t="s">
        <v>43</v>
      </c>
      <c r="B18" s="2" t="s">
        <v>44</v>
      </c>
      <c r="C18" s="5" t="s">
        <v>33</v>
      </c>
      <c r="D18" s="5" t="s">
        <v>33</v>
      </c>
      <c r="E18" s="2" t="s">
        <v>45</v>
      </c>
      <c r="F18" s="2" t="s">
        <v>45</v>
      </c>
      <c r="G18" s="2" t="s">
        <v>45</v>
      </c>
      <c r="H18" s="5" t="s">
        <v>33</v>
      </c>
      <c r="I18" s="5" t="s">
        <v>33</v>
      </c>
      <c r="J18" s="5" t="s">
        <v>33</v>
      </c>
      <c r="K18" s="5" t="s">
        <v>33</v>
      </c>
      <c r="L18" s="5" t="s">
        <v>33</v>
      </c>
      <c r="M18" s="5" t="s">
        <v>33</v>
      </c>
      <c r="N18" s="5" t="s">
        <v>33</v>
      </c>
      <c r="O18" s="5" t="s">
        <v>33</v>
      </c>
      <c r="P18" s="5" t="s">
        <v>33</v>
      </c>
      <c r="Q18" s="5" t="s">
        <v>33</v>
      </c>
      <c r="R18" s="2" t="s">
        <v>33</v>
      </c>
    </row>
    <row r="19" spans="1:20" ht="15.6" x14ac:dyDescent="0.3">
      <c r="A19" s="1" t="s">
        <v>46</v>
      </c>
      <c r="B19" s="10">
        <v>1888000</v>
      </c>
      <c r="C19" s="5"/>
      <c r="D19" s="8">
        <v>1312500</v>
      </c>
      <c r="E19" s="10">
        <v>800000</v>
      </c>
      <c r="F19" s="10">
        <v>750000</v>
      </c>
      <c r="G19" s="10">
        <v>750000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17" t="s">
        <v>42</v>
      </c>
    </row>
    <row r="20" spans="1:20" ht="15.6" x14ac:dyDescent="0.3">
      <c r="A20" s="18" t="s">
        <v>47</v>
      </c>
      <c r="B20" s="19">
        <v>46198</v>
      </c>
      <c r="C20" s="5" t="s">
        <v>48</v>
      </c>
      <c r="D20" s="19">
        <v>46198</v>
      </c>
      <c r="E20" s="19">
        <v>46198</v>
      </c>
      <c r="F20" s="19">
        <v>46198</v>
      </c>
      <c r="G20" s="19">
        <v>46198</v>
      </c>
      <c r="H20" s="5"/>
      <c r="I20" s="5"/>
      <c r="J20" s="5"/>
      <c r="K20" s="5"/>
      <c r="L20" s="5" t="s">
        <v>33</v>
      </c>
      <c r="M20" s="5" t="s">
        <v>33</v>
      </c>
      <c r="N20" s="5" t="s">
        <v>33</v>
      </c>
      <c r="O20" s="5" t="s">
        <v>33</v>
      </c>
      <c r="P20" s="5" t="s">
        <v>33</v>
      </c>
      <c r="Q20" s="5" t="s">
        <v>33</v>
      </c>
      <c r="R20" s="2" t="s">
        <v>48</v>
      </c>
    </row>
    <row r="21" spans="1:20" ht="15.6" x14ac:dyDescent="0.3">
      <c r="A21" s="18" t="s">
        <v>49</v>
      </c>
      <c r="B21" s="5"/>
      <c r="C21" s="5"/>
      <c r="D21" s="5"/>
      <c r="E21" s="18"/>
      <c r="F21" s="5"/>
      <c r="G21" s="5"/>
      <c r="H21" s="8">
        <v>750000</v>
      </c>
      <c r="I21" s="8">
        <v>750000</v>
      </c>
      <c r="J21" s="8">
        <v>750000</v>
      </c>
      <c r="K21" s="8">
        <v>1600000</v>
      </c>
      <c r="L21" s="5"/>
      <c r="M21" s="5"/>
      <c r="N21" s="5"/>
      <c r="O21" s="5"/>
      <c r="P21" s="5"/>
      <c r="Q21" s="8">
        <v>350000</v>
      </c>
      <c r="R21" s="2" t="s">
        <v>42</v>
      </c>
    </row>
    <row r="22" spans="1:20" ht="15.6" x14ac:dyDescent="0.3">
      <c r="A22" s="18" t="s">
        <v>50</v>
      </c>
      <c r="B22" s="10"/>
      <c r="C22" s="10"/>
      <c r="D22" s="10"/>
      <c r="E22" s="10"/>
      <c r="F22" s="10"/>
      <c r="G22" s="10"/>
      <c r="H22" s="20">
        <v>46079</v>
      </c>
      <c r="I22" s="20">
        <v>46079</v>
      </c>
      <c r="J22" s="20">
        <v>46079</v>
      </c>
      <c r="K22" s="20">
        <v>46079</v>
      </c>
      <c r="L22" s="10"/>
      <c r="M22" s="10"/>
      <c r="N22" s="10"/>
      <c r="O22" s="10"/>
      <c r="P22" s="20"/>
      <c r="Q22" s="20">
        <v>46079</v>
      </c>
      <c r="R22" s="20">
        <v>46079</v>
      </c>
    </row>
    <row r="23" spans="1:20" ht="15.6" x14ac:dyDescent="0.3">
      <c r="A23" s="18"/>
      <c r="B23" s="10"/>
      <c r="C23" s="10"/>
      <c r="D23" s="10"/>
      <c r="E23" s="10"/>
      <c r="F23" s="10"/>
      <c r="G23" s="10"/>
      <c r="H23" s="20"/>
      <c r="I23" s="20"/>
      <c r="J23" s="20"/>
      <c r="K23" s="20"/>
      <c r="L23" s="10"/>
      <c r="M23" s="10"/>
      <c r="N23" s="10"/>
      <c r="O23" s="10"/>
      <c r="P23" s="20"/>
      <c r="Q23" s="20"/>
      <c r="R23">
        <v>2018000</v>
      </c>
    </row>
    <row r="24" spans="1:20" ht="15.6" x14ac:dyDescent="0.3">
      <c r="A24" s="18" t="s">
        <v>51</v>
      </c>
      <c r="B24" s="18">
        <f>B30+150000</f>
        <v>2038000</v>
      </c>
      <c r="C24" s="22" t="s">
        <v>53</v>
      </c>
      <c r="D24" s="25">
        <f>D30+D26</f>
        <v>1462500</v>
      </c>
      <c r="E24" s="24">
        <f>E30+E26</f>
        <v>1050000</v>
      </c>
      <c r="F24" s="22" t="s">
        <v>53</v>
      </c>
      <c r="G24" s="24">
        <f>G30+G26</f>
        <v>900000</v>
      </c>
      <c r="H24" s="24">
        <f>H30+H26</f>
        <v>1050000</v>
      </c>
      <c r="I24" s="24">
        <f>I30+I26</f>
        <v>1050000</v>
      </c>
      <c r="J24" s="24">
        <f>J30+J26</f>
        <v>1050000</v>
      </c>
      <c r="K24" s="8" t="s">
        <v>52</v>
      </c>
      <c r="L24" s="18">
        <f>L3+150000</f>
        <v>950000</v>
      </c>
      <c r="M24" s="22" t="s">
        <v>53</v>
      </c>
      <c r="N24" s="18">
        <f>N3+110000</f>
        <v>460000</v>
      </c>
      <c r="O24" s="18">
        <f>O30+110000</f>
        <v>510000</v>
      </c>
      <c r="P24" s="18">
        <f>P30+50000</f>
        <v>750000</v>
      </c>
      <c r="Q24" s="8" t="s">
        <v>54</v>
      </c>
      <c r="R24">
        <f>R23+50000</f>
        <v>2068000</v>
      </c>
    </row>
    <row r="25" spans="1:20" ht="15.6" x14ac:dyDescent="0.3">
      <c r="A25" s="18" t="s">
        <v>55</v>
      </c>
      <c r="B25" s="18" t="s">
        <v>57</v>
      </c>
      <c r="C25" s="22" t="s">
        <v>53</v>
      </c>
      <c r="D25" s="18" t="s">
        <v>57</v>
      </c>
      <c r="E25" s="18" t="s">
        <v>57</v>
      </c>
      <c r="F25" s="22" t="s">
        <v>53</v>
      </c>
      <c r="G25" s="18" t="s">
        <v>57</v>
      </c>
      <c r="H25" s="18" t="s">
        <v>57</v>
      </c>
      <c r="I25" s="18" t="s">
        <v>57</v>
      </c>
      <c r="J25" s="18" t="s">
        <v>57</v>
      </c>
      <c r="K25" s="22" t="s">
        <v>58</v>
      </c>
      <c r="L25" s="18" t="s">
        <v>57</v>
      </c>
      <c r="M25" s="22" t="s">
        <v>59</v>
      </c>
      <c r="N25" s="18" t="s">
        <v>60</v>
      </c>
      <c r="O25" s="18" t="s">
        <v>60</v>
      </c>
      <c r="P25" s="18" t="s">
        <v>56</v>
      </c>
      <c r="Q25" s="22" t="s">
        <v>58</v>
      </c>
      <c r="R25" s="21" t="s">
        <v>56</v>
      </c>
    </row>
    <row r="26" spans="1:20" ht="15.6" x14ac:dyDescent="0.3">
      <c r="A26" s="18" t="s">
        <v>55</v>
      </c>
      <c r="B26" s="24">
        <v>150000</v>
      </c>
      <c r="C26" s="24"/>
      <c r="D26" s="24">
        <v>150000</v>
      </c>
      <c r="E26" s="24">
        <v>150000</v>
      </c>
      <c r="F26" s="24"/>
      <c r="G26" s="24">
        <v>150000</v>
      </c>
      <c r="H26" s="24">
        <v>150000</v>
      </c>
      <c r="I26" s="24">
        <v>150000</v>
      </c>
      <c r="J26" s="24">
        <v>150000</v>
      </c>
      <c r="K26" s="24"/>
      <c r="L26" s="24">
        <v>150000</v>
      </c>
      <c r="M26" s="25"/>
      <c r="N26" s="24">
        <v>110000</v>
      </c>
      <c r="O26" s="24">
        <v>110000</v>
      </c>
      <c r="P26" s="24">
        <v>50000</v>
      </c>
      <c r="Q26" s="24"/>
      <c r="R26" s="23">
        <v>50000</v>
      </c>
      <c r="S26" s="26"/>
      <c r="T26" s="26"/>
    </row>
    <row r="27" spans="1:20" ht="15.6" x14ac:dyDescent="0.3">
      <c r="A27" s="18" t="s">
        <v>61</v>
      </c>
      <c r="B27" s="27">
        <f t="shared" ref="B27:P27" si="0">B26/B30</f>
        <v>7.9449152542372878E-2</v>
      </c>
      <c r="C27" s="27">
        <f t="shared" si="0"/>
        <v>0</v>
      </c>
      <c r="D27" s="27">
        <f t="shared" si="0"/>
        <v>0.11428571428571428</v>
      </c>
      <c r="E27" s="27">
        <f t="shared" si="0"/>
        <v>0.16666666666666666</v>
      </c>
      <c r="F27" s="27">
        <f t="shared" si="0"/>
        <v>0</v>
      </c>
      <c r="G27" s="27">
        <f t="shared" si="0"/>
        <v>0.2</v>
      </c>
      <c r="H27" s="27">
        <f t="shared" si="0"/>
        <v>0.16666666666666666</v>
      </c>
      <c r="I27" s="27">
        <f t="shared" si="0"/>
        <v>0.16666666666666666</v>
      </c>
      <c r="J27" s="27">
        <f t="shared" si="0"/>
        <v>0.16666666666666666</v>
      </c>
      <c r="K27" s="27">
        <f t="shared" si="0"/>
        <v>0</v>
      </c>
      <c r="L27" s="27">
        <f t="shared" si="0"/>
        <v>0.1875</v>
      </c>
      <c r="M27" s="28">
        <f t="shared" si="0"/>
        <v>0</v>
      </c>
      <c r="N27" s="27">
        <f t="shared" si="0"/>
        <v>0.31428571428571428</v>
      </c>
      <c r="O27" s="27">
        <f t="shared" si="0"/>
        <v>0.27500000000000002</v>
      </c>
      <c r="P27" s="27">
        <f t="shared" si="0"/>
        <v>7.1428571428571425E-2</v>
      </c>
      <c r="Q27" s="18"/>
      <c r="R27" s="27">
        <f>R26/R30</f>
        <v>2.4777006937561942E-2</v>
      </c>
    </row>
    <row r="28" spans="1:20" ht="15.6" x14ac:dyDescent="0.3">
      <c r="A28" s="18" t="s">
        <v>62</v>
      </c>
      <c r="B28" s="30">
        <v>46054</v>
      </c>
      <c r="C28" s="18"/>
      <c r="D28" s="21"/>
      <c r="E28" s="18"/>
      <c r="F28" s="18"/>
      <c r="G28" s="18"/>
      <c r="H28" s="18"/>
      <c r="I28" s="18"/>
      <c r="J28" s="18"/>
      <c r="K28" s="18"/>
      <c r="L28" s="30">
        <v>46143</v>
      </c>
      <c r="M28" s="22"/>
      <c r="N28" s="30">
        <v>46174</v>
      </c>
      <c r="O28" s="30">
        <v>46174</v>
      </c>
      <c r="P28" s="18"/>
      <c r="Q28" s="18"/>
      <c r="R28" s="29">
        <v>46054</v>
      </c>
    </row>
    <row r="29" spans="1:20" ht="15.6" x14ac:dyDescent="0.3">
      <c r="A29" s="18"/>
      <c r="B29" s="18"/>
      <c r="C29" s="18"/>
      <c r="D29" s="21"/>
      <c r="E29" s="18"/>
      <c r="F29" s="18"/>
      <c r="G29" s="18"/>
      <c r="H29" s="18"/>
      <c r="I29" s="18"/>
      <c r="J29" s="18"/>
      <c r="K29" s="18"/>
      <c r="L29" s="18"/>
      <c r="M29" s="22"/>
      <c r="N29" s="18"/>
      <c r="O29" s="18"/>
      <c r="P29" s="18"/>
      <c r="Q29" s="18"/>
      <c r="R29" s="21"/>
    </row>
    <row r="30" spans="1:20" ht="15.6" x14ac:dyDescent="0.3">
      <c r="A30" s="18" t="s">
        <v>63</v>
      </c>
      <c r="B30" s="18">
        <v>1888000</v>
      </c>
      <c r="C30" s="18">
        <v>1600000</v>
      </c>
      <c r="D30" s="21">
        <v>1312500</v>
      </c>
      <c r="E30" s="18">
        <v>900000</v>
      </c>
      <c r="F30" s="18">
        <v>750000</v>
      </c>
      <c r="G30" s="18">
        <v>750000</v>
      </c>
      <c r="H30" s="21">
        <v>900000</v>
      </c>
      <c r="I30" s="21">
        <v>900000</v>
      </c>
      <c r="J30" s="21">
        <v>900000</v>
      </c>
      <c r="K30" s="21" t="s">
        <v>52</v>
      </c>
      <c r="L30" s="18">
        <v>800000</v>
      </c>
      <c r="M30" s="22">
        <v>800000</v>
      </c>
      <c r="N30" s="18">
        <v>350000</v>
      </c>
      <c r="O30" s="18">
        <v>400000</v>
      </c>
      <c r="P30" s="18">
        <v>700000</v>
      </c>
      <c r="Q30" s="21" t="s">
        <v>54</v>
      </c>
      <c r="R30" s="31">
        <v>2018000</v>
      </c>
    </row>
    <row r="31" spans="1:20" ht="15.6" x14ac:dyDescent="0.3">
      <c r="A31" s="18" t="s">
        <v>64</v>
      </c>
      <c r="B31" s="5" t="s">
        <v>65</v>
      </c>
      <c r="C31" s="5"/>
      <c r="D31" s="5" t="s">
        <v>65</v>
      </c>
      <c r="E31" s="5" t="s">
        <v>65</v>
      </c>
      <c r="F31" s="5" t="s">
        <v>65</v>
      </c>
      <c r="G31" s="5" t="s">
        <v>65</v>
      </c>
      <c r="H31" s="5" t="s">
        <v>66</v>
      </c>
      <c r="I31" s="5" t="s">
        <v>66</v>
      </c>
      <c r="J31" s="5" t="s">
        <v>67</v>
      </c>
      <c r="K31" s="5"/>
      <c r="L31" s="5" t="s">
        <v>68</v>
      </c>
      <c r="M31" s="5" t="s">
        <v>68</v>
      </c>
      <c r="N31" s="5"/>
      <c r="O31" s="5"/>
      <c r="P31" s="5"/>
      <c r="Q31" s="5"/>
      <c r="R31" s="5"/>
    </row>
    <row r="33" spans="1:1" ht="15.6" x14ac:dyDescent="0.3">
      <c r="A33" s="18" t="s">
        <v>69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Jain</dc:creator>
  <cp:lastModifiedBy>Sandeep Jain</cp:lastModifiedBy>
  <cp:revision>1</cp:revision>
  <dcterms:created xsi:type="dcterms:W3CDTF">2026-05-31T11:29:48Z</dcterms:created>
  <dcterms:modified xsi:type="dcterms:W3CDTF">2026-05-31T14:16:32Z</dcterms:modified>
</cp:coreProperties>
</file>