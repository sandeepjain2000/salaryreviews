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deep\Downloads\"/>
    </mc:Choice>
  </mc:AlternateContent>
  <xr:revisionPtr revIDLastSave="0" documentId="13_ncr:1_{69F1E894-BD0A-462F-90CB-CEC8CFB95A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ch Increment details" sheetId="1" r:id="rId1"/>
    <sheet name="Sheet1" sheetId="6" r:id="rId2"/>
    <sheet name="High Salary " sheetId="2" r:id="rId3"/>
    <sheet name="Tech salary FY25-26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D4eFQ/6vmTiHkKhQHv4O620poZFJg/4pUAMRNrgCnd0="/>
    </ext>
  </extLst>
</workbook>
</file>

<file path=xl/calcChain.xml><?xml version="1.0" encoding="utf-8"?>
<calcChain xmlns="http://schemas.openxmlformats.org/spreadsheetml/2006/main">
  <c r="M24" i="6" l="1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B27" i="6"/>
  <c r="O24" i="6"/>
  <c r="Q24" i="6"/>
  <c r="P24" i="6"/>
  <c r="B24" i="6"/>
  <c r="C24" i="6"/>
  <c r="B365" i="2"/>
  <c r="E364" i="2"/>
  <c r="D364" i="2"/>
  <c r="C364" i="2"/>
  <c r="C362" i="2"/>
  <c r="D362" i="2" s="1"/>
  <c r="E362" i="2" s="1"/>
  <c r="C360" i="2"/>
  <c r="D360" i="2" s="1"/>
  <c r="E360" i="2" s="1"/>
  <c r="E357" i="2"/>
  <c r="D357" i="2"/>
  <c r="C357" i="2"/>
  <c r="E356" i="2"/>
  <c r="E366" i="2" s="1"/>
  <c r="C356" i="2"/>
  <c r="F351" i="2"/>
  <c r="E351" i="2"/>
  <c r="D351" i="2"/>
  <c r="F343" i="2"/>
  <c r="F352" i="2" s="1"/>
  <c r="E343" i="2"/>
  <c r="E352" i="2" s="1"/>
  <c r="D343" i="2"/>
  <c r="D352" i="2" s="1"/>
  <c r="C343" i="2"/>
  <c r="F337" i="2"/>
  <c r="E337" i="2"/>
  <c r="D337" i="2"/>
  <c r="C337" i="2"/>
  <c r="F329" i="2"/>
  <c r="F338" i="2" s="1"/>
  <c r="G338" i="2" s="1"/>
  <c r="E329" i="2"/>
  <c r="E338" i="2" s="1"/>
  <c r="D329" i="2"/>
  <c r="D338" i="2" s="1"/>
  <c r="C329" i="2"/>
  <c r="C338" i="2" s="1"/>
  <c r="I323" i="2"/>
  <c r="H323" i="2"/>
  <c r="G323" i="2"/>
  <c r="F323" i="2"/>
  <c r="E323" i="2"/>
  <c r="D323" i="2"/>
  <c r="C323" i="2"/>
  <c r="I315" i="2"/>
  <c r="I324" i="2" s="1"/>
  <c r="E315" i="2"/>
  <c r="E324" i="2" s="1"/>
  <c r="D315" i="2"/>
  <c r="D324" i="2" s="1"/>
  <c r="C315" i="2"/>
  <c r="C324" i="2" s="1"/>
  <c r="F313" i="2"/>
  <c r="H310" i="2"/>
  <c r="G310" i="2"/>
  <c r="F310" i="2"/>
  <c r="E310" i="2"/>
  <c r="D310" i="2"/>
  <c r="C310" i="2"/>
  <c r="E302" i="2"/>
  <c r="E311" i="2" s="1"/>
  <c r="D302" i="2"/>
  <c r="D311" i="2" s="1"/>
  <c r="C302" i="2"/>
  <c r="C311" i="2" s="1"/>
  <c r="F300" i="2"/>
  <c r="C288" i="2"/>
  <c r="E283" i="2"/>
  <c r="G280" i="2"/>
  <c r="E280" i="2"/>
  <c r="G279" i="2"/>
  <c r="G278" i="2"/>
  <c r="E278" i="2"/>
  <c r="G277" i="2"/>
  <c r="E277" i="2"/>
  <c r="F276" i="2"/>
  <c r="G276" i="2" s="1"/>
  <c r="E276" i="2"/>
  <c r="F275" i="2"/>
  <c r="E275" i="2"/>
  <c r="D274" i="2"/>
  <c r="O270" i="2"/>
  <c r="O271" i="2" s="1"/>
  <c r="N270" i="2"/>
  <c r="N271" i="2" s="1"/>
  <c r="M270" i="2"/>
  <c r="M271" i="2" s="1"/>
  <c r="L270" i="2"/>
  <c r="L271" i="2" s="1"/>
  <c r="K270" i="2"/>
  <c r="K271" i="2" s="1"/>
  <c r="J270" i="2"/>
  <c r="J271" i="2" s="1"/>
  <c r="I270" i="2"/>
  <c r="I271" i="2" s="1"/>
  <c r="H270" i="2"/>
  <c r="H271" i="2" s="1"/>
  <c r="G270" i="2"/>
  <c r="G271" i="2" s="1"/>
  <c r="F270" i="2"/>
  <c r="F271" i="2" s="1"/>
  <c r="E270" i="2"/>
  <c r="E271" i="2" s="1"/>
  <c r="D270" i="2"/>
  <c r="D271" i="2" s="1"/>
  <c r="C270" i="2"/>
  <c r="C271" i="2" s="1"/>
  <c r="B262" i="2"/>
  <c r="B258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P249" i="2"/>
  <c r="P258" i="2" s="1"/>
  <c r="P259" i="2" s="1"/>
  <c r="O249" i="2"/>
  <c r="O258" i="2" s="1"/>
  <c r="N249" i="2"/>
  <c r="N258" i="2" s="1"/>
  <c r="M249" i="2"/>
  <c r="M258" i="2" s="1"/>
  <c r="L249" i="2"/>
  <c r="L258" i="2" s="1"/>
  <c r="K249" i="2"/>
  <c r="K258" i="2" s="1"/>
  <c r="J249" i="2"/>
  <c r="I249" i="2"/>
  <c r="I258" i="2" s="1"/>
  <c r="H249" i="2"/>
  <c r="H258" i="2" s="1"/>
  <c r="G249" i="2"/>
  <c r="G258" i="2" s="1"/>
  <c r="F249" i="2"/>
  <c r="F258" i="2" s="1"/>
  <c r="E249" i="2"/>
  <c r="E258" i="2" s="1"/>
  <c r="D249" i="2"/>
  <c r="D258" i="2" s="1"/>
  <c r="C249" i="2"/>
  <c r="B248" i="2"/>
  <c r="N243" i="2"/>
  <c r="M243" i="2"/>
  <c r="L243" i="2"/>
  <c r="K243" i="2"/>
  <c r="N227" i="2"/>
  <c r="N228" i="2" s="1"/>
  <c r="N229" i="2" s="1"/>
  <c r="M227" i="2"/>
  <c r="M228" i="2" s="1"/>
  <c r="L227" i="2"/>
  <c r="L228" i="2" s="1"/>
  <c r="K227" i="2"/>
  <c r="K228" i="2" s="1"/>
  <c r="J227" i="2"/>
  <c r="J228" i="2" s="1"/>
  <c r="I227" i="2"/>
  <c r="I228" i="2" s="1"/>
  <c r="H227" i="2"/>
  <c r="H228" i="2" s="1"/>
  <c r="G227" i="2"/>
  <c r="G228" i="2" s="1"/>
  <c r="F227" i="2"/>
  <c r="F228" i="2" s="1"/>
  <c r="E227" i="2"/>
  <c r="E228" i="2" s="1"/>
  <c r="D227" i="2"/>
  <c r="D228" i="2" s="1"/>
  <c r="O214" i="2"/>
  <c r="N214" i="2"/>
  <c r="M214" i="2"/>
  <c r="O200" i="2"/>
  <c r="N200" i="2"/>
  <c r="M200" i="2"/>
  <c r="G185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K177" i="2"/>
  <c r="N177" i="2" s="1"/>
  <c r="J177" i="2"/>
  <c r="M177" i="2" s="1"/>
  <c r="C177" i="2"/>
  <c r="F177" i="2" s="1"/>
  <c r="I177" i="2" s="1"/>
  <c r="L177" i="2" s="1"/>
  <c r="O177" i="2" s="1"/>
  <c r="C176" i="2"/>
  <c r="D176" i="2" s="1"/>
  <c r="O173" i="2"/>
  <c r="N173" i="2"/>
  <c r="M173" i="2"/>
  <c r="L173" i="2"/>
  <c r="K173" i="2"/>
  <c r="J173" i="2"/>
  <c r="I173" i="2"/>
  <c r="H173" i="2"/>
  <c r="G173" i="2"/>
  <c r="F173" i="2"/>
  <c r="F174" i="2" s="1"/>
  <c r="E173" i="2"/>
  <c r="E174" i="2" s="1"/>
  <c r="D173" i="2"/>
  <c r="D174" i="2" s="1"/>
  <c r="C170" i="2"/>
  <c r="C168" i="2"/>
  <c r="C167" i="2"/>
  <c r="C173" i="2" s="1"/>
  <c r="C174" i="2" s="1"/>
  <c r="F165" i="2"/>
  <c r="G165" i="2" s="1"/>
  <c r="E165" i="2"/>
  <c r="D165" i="2"/>
  <c r="G160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K152" i="2"/>
  <c r="N152" i="2" s="1"/>
  <c r="J152" i="2"/>
  <c r="M152" i="2" s="1"/>
  <c r="C152" i="2"/>
  <c r="F152" i="2" s="1"/>
  <c r="I152" i="2" s="1"/>
  <c r="L152" i="2" s="1"/>
  <c r="O152" i="2" s="1"/>
  <c r="D151" i="2"/>
  <c r="C151" i="2"/>
  <c r="C153" i="2" s="1"/>
  <c r="O148" i="2"/>
  <c r="N148" i="2"/>
  <c r="M148" i="2"/>
  <c r="L148" i="2"/>
  <c r="K148" i="2"/>
  <c r="J148" i="2"/>
  <c r="I148" i="2"/>
  <c r="H148" i="2"/>
  <c r="G148" i="2"/>
  <c r="F148" i="2"/>
  <c r="E148" i="2"/>
  <c r="D148" i="2"/>
  <c r="C145" i="2"/>
  <c r="C143" i="2"/>
  <c r="C142" i="2"/>
  <c r="C148" i="2" s="1"/>
  <c r="C149" i="2" s="1"/>
  <c r="F140" i="2"/>
  <c r="E140" i="2"/>
  <c r="E149" i="2" s="1"/>
  <c r="D140" i="2"/>
  <c r="D149" i="2" s="1"/>
  <c r="G135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E136" i="2" s="1"/>
  <c r="D134" i="2"/>
  <c r="D136" i="2" s="1"/>
  <c r="P133" i="2"/>
  <c r="P136" i="2" s="1"/>
  <c r="O133" i="2"/>
  <c r="O136" i="2" s="1"/>
  <c r="N133" i="2"/>
  <c r="N136" i="2" s="1"/>
  <c r="M133" i="2"/>
  <c r="M136" i="2" s="1"/>
  <c r="L133" i="2"/>
  <c r="L136" i="2" s="1"/>
  <c r="K133" i="2"/>
  <c r="K136" i="2" s="1"/>
  <c r="J133" i="2"/>
  <c r="J136" i="2" s="1"/>
  <c r="I133" i="2"/>
  <c r="I136" i="2" s="1"/>
  <c r="H133" i="2"/>
  <c r="H136" i="2" s="1"/>
  <c r="G133" i="2"/>
  <c r="G136" i="2" s="1"/>
  <c r="F133" i="2"/>
  <c r="F136" i="2" s="1"/>
  <c r="C132" i="2"/>
  <c r="C131" i="2"/>
  <c r="C130" i="2"/>
  <c r="C129" i="2"/>
  <c r="C128" i="2"/>
  <c r="C127" i="2"/>
  <c r="C126" i="2"/>
  <c r="P123" i="2"/>
  <c r="P124" i="2" s="1"/>
  <c r="O123" i="2"/>
  <c r="O124" i="2" s="1"/>
  <c r="N123" i="2"/>
  <c r="N124" i="2" s="1"/>
  <c r="M123" i="2"/>
  <c r="M124" i="2" s="1"/>
  <c r="L123" i="2"/>
  <c r="L124" i="2" s="1"/>
  <c r="K123" i="2"/>
  <c r="K124" i="2" s="1"/>
  <c r="J123" i="2"/>
  <c r="J124" i="2" s="1"/>
  <c r="I123" i="2"/>
  <c r="I124" i="2" s="1"/>
  <c r="H123" i="2"/>
  <c r="H124" i="2" s="1"/>
  <c r="G123" i="2"/>
  <c r="G124" i="2" s="1"/>
  <c r="E123" i="2"/>
  <c r="E124" i="2" s="1"/>
  <c r="D123" i="2"/>
  <c r="D124" i="2" s="1"/>
  <c r="B122" i="2"/>
  <c r="F120" i="2"/>
  <c r="C120" i="2"/>
  <c r="B120" i="2"/>
  <c r="F118" i="2"/>
  <c r="C118" i="2"/>
  <c r="B118" i="2"/>
  <c r="F117" i="2"/>
  <c r="F123" i="2" s="1"/>
  <c r="F124" i="2" s="1"/>
  <c r="C117" i="2"/>
  <c r="C123" i="2" s="1"/>
  <c r="C124" i="2" s="1"/>
  <c r="B117" i="2"/>
  <c r="B123" i="2" s="1"/>
  <c r="G115" i="2"/>
  <c r="J110" i="2"/>
  <c r="P109" i="2"/>
  <c r="P110" i="2" s="1"/>
  <c r="O109" i="2"/>
  <c r="O110" i="2" s="1"/>
  <c r="N109" i="2"/>
  <c r="N110" i="2" s="1"/>
  <c r="M109" i="2"/>
  <c r="Q108" i="2"/>
  <c r="C102" i="2"/>
  <c r="C101" i="2"/>
  <c r="Q96" i="2"/>
  <c r="N96" i="2"/>
  <c r="H96" i="2"/>
  <c r="P95" i="2"/>
  <c r="D95" i="2"/>
  <c r="R94" i="2"/>
  <c r="D94" i="2"/>
  <c r="D96" i="2" s="1"/>
  <c r="D92" i="2"/>
  <c r="D90" i="2"/>
  <c r="D89" i="2"/>
  <c r="E88" i="2"/>
  <c r="C88" i="2"/>
  <c r="C87" i="2"/>
  <c r="O82" i="2"/>
  <c r="M82" i="2"/>
  <c r="L82" i="2"/>
  <c r="F82" i="2"/>
  <c r="N81" i="2"/>
  <c r="B81" i="2"/>
  <c r="O80" i="2"/>
  <c r="N80" i="2"/>
  <c r="M80" i="2"/>
  <c r="P80" i="2" s="1"/>
  <c r="B80" i="2"/>
  <c r="B82" i="2" s="1"/>
  <c r="B78" i="2"/>
  <c r="B76" i="2"/>
  <c r="B75" i="2"/>
  <c r="O66" i="2"/>
  <c r="N66" i="2"/>
  <c r="M66" i="2"/>
  <c r="L66" i="2"/>
  <c r="K66" i="2"/>
  <c r="J66" i="2"/>
  <c r="I66" i="2"/>
  <c r="H66" i="2"/>
  <c r="G66" i="2"/>
  <c r="F66" i="2"/>
  <c r="E66" i="2"/>
  <c r="E67" i="2" s="1"/>
  <c r="D66" i="2"/>
  <c r="D67" i="2" s="1"/>
  <c r="O65" i="2"/>
  <c r="O67" i="2" s="1"/>
  <c r="N65" i="2"/>
  <c r="N67" i="2" s="1"/>
  <c r="M65" i="2"/>
  <c r="M67" i="2" s="1"/>
  <c r="L65" i="2"/>
  <c r="L67" i="2" s="1"/>
  <c r="K65" i="2"/>
  <c r="K67" i="2" s="1"/>
  <c r="J65" i="2"/>
  <c r="J67" i="2" s="1"/>
  <c r="I65" i="2"/>
  <c r="I67" i="2" s="1"/>
  <c r="H65" i="2"/>
  <c r="H67" i="2" s="1"/>
  <c r="H68" i="2" s="1"/>
  <c r="G65" i="2"/>
  <c r="G67" i="2" s="1"/>
  <c r="F65" i="2"/>
  <c r="F67" i="2" s="1"/>
  <c r="C64" i="2"/>
  <c r="C63" i="2"/>
  <c r="C62" i="2"/>
  <c r="B60" i="2"/>
  <c r="C59" i="2"/>
  <c r="C58" i="2"/>
  <c r="C60" i="2" s="1"/>
  <c r="O55" i="2"/>
  <c r="O56" i="2" s="1"/>
  <c r="N55" i="2"/>
  <c r="N56" i="2" s="1"/>
  <c r="M55" i="2"/>
  <c r="M56" i="2" s="1"/>
  <c r="L55" i="2"/>
  <c r="L56" i="2" s="1"/>
  <c r="K55" i="2"/>
  <c r="K56" i="2" s="1"/>
  <c r="J55" i="2"/>
  <c r="J56" i="2" s="1"/>
  <c r="I55" i="2"/>
  <c r="I56" i="2" s="1"/>
  <c r="H55" i="2"/>
  <c r="H56" i="2" s="1"/>
  <c r="G55" i="2"/>
  <c r="G56" i="2" s="1"/>
  <c r="F55" i="2"/>
  <c r="F56" i="2" s="1"/>
  <c r="E55" i="2"/>
  <c r="E56" i="2" s="1"/>
  <c r="D55" i="2"/>
  <c r="P54" i="2"/>
  <c r="B54" i="2"/>
  <c r="B52" i="2"/>
  <c r="B51" i="2"/>
  <c r="B50" i="2"/>
  <c r="B49" i="2"/>
  <c r="B55" i="2" s="1"/>
  <c r="C48" i="2"/>
  <c r="C47" i="2"/>
  <c r="O39" i="2"/>
  <c r="N39" i="2"/>
  <c r="M39" i="2"/>
  <c r="L39" i="2"/>
  <c r="K39" i="2"/>
  <c r="J39" i="2"/>
  <c r="I39" i="2"/>
  <c r="H39" i="2"/>
  <c r="G39" i="2"/>
  <c r="F39" i="2"/>
  <c r="E39" i="2"/>
  <c r="E40" i="2" s="1"/>
  <c r="D39" i="2"/>
  <c r="D40" i="2" s="1"/>
  <c r="O38" i="2"/>
  <c r="O40" i="2" s="1"/>
  <c r="N38" i="2"/>
  <c r="N40" i="2" s="1"/>
  <c r="M38" i="2"/>
  <c r="M40" i="2" s="1"/>
  <c r="L38" i="2"/>
  <c r="L40" i="2" s="1"/>
  <c r="K38" i="2"/>
  <c r="K40" i="2" s="1"/>
  <c r="J38" i="2"/>
  <c r="J40" i="2" s="1"/>
  <c r="I38" i="2"/>
  <c r="I40" i="2" s="1"/>
  <c r="H38" i="2"/>
  <c r="H40" i="2" s="1"/>
  <c r="H41" i="2" s="1"/>
  <c r="G38" i="2"/>
  <c r="G40" i="2" s="1"/>
  <c r="F38" i="2"/>
  <c r="F40" i="2" s="1"/>
  <c r="C37" i="2"/>
  <c r="C36" i="2"/>
  <c r="C35" i="2"/>
  <c r="C34" i="2"/>
  <c r="C32" i="2"/>
  <c r="C31" i="2"/>
  <c r="C33" i="2" s="1"/>
  <c r="O27" i="2"/>
  <c r="O28" i="2" s="1"/>
  <c r="N27" i="2"/>
  <c r="N28" i="2" s="1"/>
  <c r="M27" i="2"/>
  <c r="M28" i="2" s="1"/>
  <c r="L27" i="2"/>
  <c r="L28" i="2" s="1"/>
  <c r="K27" i="2"/>
  <c r="K28" i="2" s="1"/>
  <c r="J27" i="2"/>
  <c r="J28" i="2" s="1"/>
  <c r="I27" i="2"/>
  <c r="I28" i="2" s="1"/>
  <c r="H27" i="2"/>
  <c r="H28" i="2" s="1"/>
  <c r="G27" i="2"/>
  <c r="G28" i="2" s="1"/>
  <c r="F27" i="2"/>
  <c r="F28" i="2" s="1"/>
  <c r="E27" i="2"/>
  <c r="E28" i="2" s="1"/>
  <c r="D27" i="2"/>
  <c r="P26" i="2"/>
  <c r="B26" i="2"/>
  <c r="B24" i="2"/>
  <c r="B23" i="2"/>
  <c r="B22" i="2"/>
  <c r="B21" i="2"/>
  <c r="B27" i="2" s="1"/>
  <c r="C19" i="2"/>
  <c r="V12" i="2"/>
  <c r="V13" i="2" s="1"/>
  <c r="U12" i="2"/>
  <c r="U13" i="2" s="1"/>
  <c r="U14" i="2" s="1"/>
  <c r="T12" i="2"/>
  <c r="T13" i="2" s="1"/>
  <c r="S12" i="2"/>
  <c r="S13" i="2" s="1"/>
  <c r="R12" i="2"/>
  <c r="R13" i="2" s="1"/>
  <c r="Q12" i="2"/>
  <c r="Q13" i="2" s="1"/>
  <c r="O12" i="2"/>
  <c r="O13" i="2" s="1"/>
  <c r="N12" i="2"/>
  <c r="N13" i="2" s="1"/>
  <c r="M12" i="2"/>
  <c r="M13" i="2" s="1"/>
  <c r="L12" i="2"/>
  <c r="L13" i="2" s="1"/>
  <c r="K12" i="2"/>
  <c r="K13" i="2" s="1"/>
  <c r="J12" i="2"/>
  <c r="J13" i="2" s="1"/>
  <c r="I12" i="2"/>
  <c r="I13" i="2" s="1"/>
  <c r="H12" i="2"/>
  <c r="H13" i="2" s="1"/>
  <c r="G12" i="2"/>
  <c r="G13" i="2" s="1"/>
  <c r="F12" i="2"/>
  <c r="F13" i="2" s="1"/>
  <c r="E12" i="2"/>
  <c r="E13" i="2" s="1"/>
  <c r="D12" i="2"/>
  <c r="B12" i="2"/>
  <c r="P11" i="2"/>
  <c r="B11" i="2"/>
  <c r="B13" i="2" s="1"/>
  <c r="C5" i="2"/>
  <c r="C366" i="2" l="1"/>
  <c r="D356" i="2"/>
  <c r="D366" i="2" s="1"/>
  <c r="H315" i="2"/>
  <c r="H324" i="2" s="1"/>
  <c r="G315" i="2"/>
  <c r="G324" i="2" s="1"/>
  <c r="F315" i="2"/>
  <c r="F324" i="2" s="1"/>
  <c r="H302" i="2"/>
  <c r="H311" i="2" s="1"/>
  <c r="G302" i="2"/>
  <c r="G311" i="2" s="1"/>
  <c r="F302" i="2"/>
  <c r="F311" i="2" s="1"/>
  <c r="F282" i="2"/>
  <c r="G275" i="2"/>
  <c r="J258" i="2"/>
  <c r="J256" i="2"/>
  <c r="E176" i="2"/>
  <c r="D186" i="2"/>
  <c r="H165" i="2"/>
  <c r="G174" i="2"/>
  <c r="E151" i="2"/>
  <c r="D160" i="2"/>
  <c r="D161" i="2"/>
  <c r="F149" i="2"/>
  <c r="G140" i="2"/>
  <c r="M110" i="2"/>
  <c r="Q110" i="2" s="1"/>
  <c r="Q109" i="2"/>
  <c r="P96" i="2"/>
  <c r="R96" i="2" s="1"/>
  <c r="R95" i="2"/>
  <c r="N82" i="2"/>
  <c r="P82" i="2" s="1"/>
  <c r="P81" i="2"/>
  <c r="D56" i="2"/>
  <c r="P56" i="2" s="1"/>
  <c r="P55" i="2"/>
  <c r="D28" i="2"/>
  <c r="P28" i="2" s="1"/>
  <c r="P27" i="2"/>
  <c r="D13" i="2"/>
  <c r="P13" i="2" s="1"/>
  <c r="P12" i="2"/>
  <c r="B56" i="2"/>
  <c r="B28" i="2"/>
  <c r="B124" i="2"/>
  <c r="G282" i="2" l="1"/>
  <c r="F284" i="2"/>
  <c r="G281" i="2"/>
  <c r="E282" i="2"/>
  <c r="F176" i="2"/>
  <c r="E186" i="2"/>
  <c r="I165" i="2"/>
  <c r="H174" i="2"/>
  <c r="E161" i="2"/>
  <c r="F151" i="2"/>
  <c r="H140" i="2"/>
  <c r="G149" i="2"/>
  <c r="G284" i="2" l="1"/>
  <c r="G283" i="2"/>
  <c r="E284" i="2"/>
  <c r="G176" i="2"/>
  <c r="F183" i="2"/>
  <c r="F186" i="2" s="1"/>
  <c r="J165" i="2"/>
  <c r="I174" i="2"/>
  <c r="G151" i="2"/>
  <c r="F158" i="2"/>
  <c r="F161" i="2" s="1"/>
  <c r="I140" i="2"/>
  <c r="H149" i="2"/>
  <c r="H176" i="2" l="1"/>
  <c r="G183" i="2"/>
  <c r="G186" i="2" s="1"/>
  <c r="K165" i="2"/>
  <c r="J174" i="2"/>
  <c r="H151" i="2"/>
  <c r="G158" i="2"/>
  <c r="G161" i="2" s="1"/>
  <c r="I149" i="2"/>
  <c r="J140" i="2"/>
  <c r="H183" i="2" l="1"/>
  <c r="H186" i="2" s="1"/>
  <c r="I176" i="2"/>
  <c r="L165" i="2"/>
  <c r="K174" i="2"/>
  <c r="I151" i="2"/>
  <c r="H158" i="2"/>
  <c r="H161" i="2" s="1"/>
  <c r="J149" i="2"/>
  <c r="K140" i="2"/>
  <c r="I183" i="2" l="1"/>
  <c r="I186" i="2" s="1"/>
  <c r="J176" i="2"/>
  <c r="M165" i="2"/>
  <c r="L174" i="2"/>
  <c r="J151" i="2"/>
  <c r="I158" i="2"/>
  <c r="I161" i="2" s="1"/>
  <c r="K149" i="2"/>
  <c r="L140" i="2"/>
  <c r="K176" i="2" l="1"/>
  <c r="J183" i="2"/>
  <c r="J186" i="2" s="1"/>
  <c r="M174" i="2"/>
  <c r="N165" i="2"/>
  <c r="K151" i="2"/>
  <c r="J158" i="2"/>
  <c r="J161" i="2" s="1"/>
  <c r="M140" i="2"/>
  <c r="L149" i="2"/>
  <c r="K183" i="2" l="1"/>
  <c r="K186" i="2" s="1"/>
  <c r="L176" i="2"/>
  <c r="O165" i="2"/>
  <c r="O174" i="2" s="1"/>
  <c r="N174" i="2"/>
  <c r="L151" i="2"/>
  <c r="K158" i="2"/>
  <c r="K161" i="2" s="1"/>
  <c r="M149" i="2"/>
  <c r="N140" i="2"/>
  <c r="L183" i="2" l="1"/>
  <c r="L186" i="2" s="1"/>
  <c r="M176" i="2"/>
  <c r="M151" i="2"/>
  <c r="L158" i="2"/>
  <c r="L161" i="2" s="1"/>
  <c r="O140" i="2"/>
  <c r="O149" i="2" s="1"/>
  <c r="N149" i="2"/>
  <c r="N176" i="2" l="1"/>
  <c r="M183" i="2"/>
  <c r="M186" i="2" s="1"/>
  <c r="N151" i="2"/>
  <c r="M158" i="2"/>
  <c r="M161" i="2" s="1"/>
  <c r="O176" i="2" l="1"/>
  <c r="O183" i="2" s="1"/>
  <c r="O186" i="2" s="1"/>
  <c r="N183" i="2"/>
  <c r="N186" i="2" s="1"/>
  <c r="O151" i="2"/>
  <c r="O158" i="2" s="1"/>
  <c r="O161" i="2" s="1"/>
  <c r="N158" i="2"/>
  <c r="N161" i="2" s="1"/>
</calcChain>
</file>

<file path=xl/sharedStrings.xml><?xml version="1.0" encoding="utf-8"?>
<sst xmlns="http://schemas.openxmlformats.org/spreadsheetml/2006/main" count="1275" uniqueCount="170">
  <si>
    <t>Tech</t>
  </si>
  <si>
    <t>Start Date</t>
  </si>
  <si>
    <t>Joining Salary</t>
  </si>
  <si>
    <t>Review 2017</t>
  </si>
  <si>
    <t>Salary Before Review-18</t>
  </si>
  <si>
    <t>Review 2018</t>
  </si>
  <si>
    <t>Salary Before Review-19</t>
  </si>
  <si>
    <t>Review 2019</t>
  </si>
  <si>
    <t>Salary Before Review-20</t>
  </si>
  <si>
    <t>Review 2020</t>
  </si>
  <si>
    <t>Salary Before Review-21</t>
  </si>
  <si>
    <t>Reveiw 2021</t>
  </si>
  <si>
    <t>Salary Before Review-22</t>
  </si>
  <si>
    <t>Reveiw 2022</t>
  </si>
  <si>
    <t>Salary Before Review-23</t>
  </si>
  <si>
    <t>Review 23</t>
  </si>
  <si>
    <t>Salary Before Review-24</t>
  </si>
  <si>
    <t>Review 24</t>
  </si>
  <si>
    <t>Salary Before Review-25</t>
  </si>
  <si>
    <t>Review 2025</t>
  </si>
  <si>
    <t>Salary Befor Review-26</t>
  </si>
  <si>
    <t>Review-26</t>
  </si>
  <si>
    <t>Salary Befor Review-27</t>
  </si>
  <si>
    <t>Review-27</t>
  </si>
  <si>
    <t>Current Salary</t>
  </si>
  <si>
    <t>Remark</t>
  </si>
  <si>
    <t>Sonali</t>
  </si>
  <si>
    <t>05 January 2017</t>
  </si>
  <si>
    <t>N/A</t>
  </si>
  <si>
    <t>Aug-23</t>
  </si>
  <si>
    <t>1958000</t>
  </si>
  <si>
    <t>No Review</t>
  </si>
  <si>
    <t xml:space="preserve">20,18,000
</t>
  </si>
  <si>
    <t>KumarSwamy</t>
  </si>
  <si>
    <t>19 February 2024</t>
  </si>
  <si>
    <t>Aug-24</t>
  </si>
  <si>
    <t>Done in June 25</t>
  </si>
  <si>
    <t>Shubham D</t>
  </si>
  <si>
    <t>20 August 2024</t>
  </si>
  <si>
    <t>Sanket</t>
  </si>
  <si>
    <t>15 January 2024</t>
  </si>
  <si>
    <t>Ayush Kharpuse</t>
  </si>
  <si>
    <t>01 December 2023</t>
  </si>
  <si>
    <t>Jun 24</t>
  </si>
  <si>
    <t>Priya Chherke</t>
  </si>
  <si>
    <t>Manish Pathe</t>
  </si>
  <si>
    <t>Harshwardhan</t>
  </si>
  <si>
    <t>05 July 2024</t>
  </si>
  <si>
    <t xml:space="preserve"> 9,00,000</t>
  </si>
  <si>
    <t>As per offer(Oct -After 3M / Jan-After 6M of joining)</t>
  </si>
  <si>
    <t>Yashraj Talokar</t>
  </si>
  <si>
    <t>Vivek Jadav</t>
  </si>
  <si>
    <t>02 September 2024</t>
  </si>
  <si>
    <t>As per offer(Dec -After 3M / March-After 6M of joining)</t>
  </si>
  <si>
    <t>Kritika Wadhwa</t>
  </si>
  <si>
    <t xml:space="preserve"> 17,60,000</t>
  </si>
  <si>
    <t>Jayesh Jaiswal</t>
  </si>
  <si>
    <t>As per offer(Sep-After 3M of Joining)</t>
  </si>
  <si>
    <t>Tejas Mahadik</t>
  </si>
  <si>
    <t>Krishna</t>
  </si>
  <si>
    <t>Prajwal C</t>
  </si>
  <si>
    <t>Amatullah</t>
  </si>
  <si>
    <t>Shruti Kokate</t>
  </si>
  <si>
    <t xml:space="preserve"> 4,60,000</t>
  </si>
  <si>
    <t>Sonali CTC</t>
  </si>
  <si>
    <t>April</t>
  </si>
  <si>
    <t>May</t>
  </si>
  <si>
    <t>June</t>
  </si>
  <si>
    <t>July</t>
  </si>
  <si>
    <t>August</t>
  </si>
  <si>
    <t>September</t>
  </si>
  <si>
    <t xml:space="preserve">October </t>
  </si>
  <si>
    <t>November</t>
  </si>
  <si>
    <t>December</t>
  </si>
  <si>
    <t>January</t>
  </si>
  <si>
    <t>February</t>
  </si>
  <si>
    <t>March</t>
  </si>
  <si>
    <t>Sep</t>
  </si>
  <si>
    <t>Salary</t>
  </si>
  <si>
    <t>Bonus (20000 per month)</t>
  </si>
  <si>
    <t>Employer Contribution per month</t>
  </si>
  <si>
    <t>PT</t>
  </si>
  <si>
    <t>TDS</t>
  </si>
  <si>
    <t>Employee Contirubtion PF (Fix 1800)</t>
  </si>
  <si>
    <t>ESIC contribution</t>
  </si>
  <si>
    <t>Total Deduction</t>
  </si>
  <si>
    <t>Net Pay</t>
  </si>
  <si>
    <t>Sanket CTC (DOJ -- 15th Jan 2024)</t>
  </si>
  <si>
    <t>Bonus (10000 per month)</t>
  </si>
  <si>
    <t>Employer Contribution</t>
  </si>
  <si>
    <t>New CTC from June 2025-25%</t>
  </si>
  <si>
    <t>Bonus (15000 per month)</t>
  </si>
  <si>
    <t>KumarSwamy CTC (DOJ -- 19th Feb 2024)</t>
  </si>
  <si>
    <t>New CTC from June 2025-18%</t>
  </si>
  <si>
    <t>Eshrat CTC(DOJ- 08TH Oct-2020)</t>
  </si>
  <si>
    <t>Bonus (30000 every six month)</t>
  </si>
  <si>
    <t>Ayushi CTC</t>
  </si>
  <si>
    <t>Bonus (50000 every six month)</t>
  </si>
  <si>
    <t>Riyanshu CTC (Salary increased in April24)</t>
  </si>
  <si>
    <t>Salary Increased from Jun</t>
  </si>
  <si>
    <t>Salary Increased</t>
  </si>
  <si>
    <t>Bonus (50000 annaul bonus)</t>
  </si>
  <si>
    <t>New CTC From Jun2025- 12.5%</t>
  </si>
  <si>
    <t xml:space="preserve">April </t>
  </si>
  <si>
    <t>October</t>
  </si>
  <si>
    <t xml:space="preserve">Bonus </t>
  </si>
  <si>
    <t>New CTC From Jun2025- 15%</t>
  </si>
  <si>
    <t>Harshwardhan More(DOJ 5th July)</t>
  </si>
  <si>
    <t>Outstanding</t>
  </si>
  <si>
    <t>Yashraj Talokar(DOJ 5th July)</t>
  </si>
  <si>
    <t>Kritika Wadhwa(DOJ 16th Sep)</t>
  </si>
  <si>
    <t>16,00,000</t>
  </si>
  <si>
    <t>Sep( 15day)</t>
  </si>
  <si>
    <t>Oct</t>
  </si>
  <si>
    <t>Nov</t>
  </si>
  <si>
    <t>Dec</t>
  </si>
  <si>
    <t>Jan</t>
  </si>
  <si>
    <t>Feb</t>
  </si>
  <si>
    <t>13,60,000</t>
  </si>
  <si>
    <t>Bonus</t>
  </si>
  <si>
    <t>2,40,000</t>
  </si>
  <si>
    <t>Vivek Jadav (DOJ 2nd Sep)</t>
  </si>
  <si>
    <t>Bonus Annually</t>
  </si>
  <si>
    <t>Shruti K</t>
  </si>
  <si>
    <t>Shraddha T</t>
  </si>
  <si>
    <t xml:space="preserve">Increment salary </t>
  </si>
  <si>
    <t>Rohit</t>
  </si>
  <si>
    <t>19th May 25</t>
  </si>
  <si>
    <t>Mar</t>
  </si>
  <si>
    <t>Apr</t>
  </si>
  <si>
    <t>Krishna Thite</t>
  </si>
  <si>
    <t>Jun</t>
  </si>
  <si>
    <t>Short payment</t>
  </si>
  <si>
    <t>Prajwal</t>
  </si>
  <si>
    <t>11 August start date</t>
  </si>
  <si>
    <t>Monthly</t>
  </si>
  <si>
    <t>Jul</t>
  </si>
  <si>
    <t>SONALI</t>
  </si>
  <si>
    <t>Yearly total</t>
  </si>
  <si>
    <t>BASIC</t>
  </si>
  <si>
    <t>HRA</t>
  </si>
  <si>
    <t>Oth Allowance</t>
  </si>
  <si>
    <t>BONUS</t>
  </si>
  <si>
    <t>TOTAL GROSS</t>
  </si>
  <si>
    <t>PF 12%</t>
  </si>
  <si>
    <t>PF Employer 13%</t>
  </si>
  <si>
    <t>MLWF</t>
  </si>
  <si>
    <t>TOTAL DEDUCTION</t>
  </si>
  <si>
    <t>Net Payable</t>
  </si>
  <si>
    <t>CTC</t>
  </si>
  <si>
    <t>Kumaraswamy</t>
  </si>
  <si>
    <t>Shubham Dixit</t>
  </si>
  <si>
    <t>Yearly Total</t>
  </si>
  <si>
    <t>Annual bonus</t>
  </si>
  <si>
    <t>Harshwardhan More</t>
  </si>
  <si>
    <t>Yashraj</t>
  </si>
  <si>
    <t>Jayesh Jaiswal-May 25</t>
  </si>
  <si>
    <t>Tejas Mahdik-June 25</t>
  </si>
  <si>
    <t>Shruti</t>
  </si>
  <si>
    <t>ESIC</t>
  </si>
  <si>
    <t>Esic</t>
  </si>
  <si>
    <t>1.5 Lakhs</t>
  </si>
  <si>
    <t>50 K</t>
  </si>
  <si>
    <t>1.1 Lakhs</t>
  </si>
  <si>
    <t>Month Effective</t>
  </si>
  <si>
    <t>Amount</t>
  </si>
  <si>
    <t>NA.already done</t>
  </si>
  <si>
    <t>Percent</t>
  </si>
  <si>
    <t>NA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</si>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</sst>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\ mmmm\ yyyy"/>
    <numFmt numFmtId="165" formatCode="mmm\ yyyy"/>
    <numFmt numFmtId="166" formatCode="mmm\-yyyy"/>
    <numFmt numFmtId="167" formatCode="mmm\-d"/>
    <numFmt numFmtId="168" formatCode="dd\ mmmm\ yyyy"/>
    <numFmt numFmtId="169" formatCode="mmmm\-d"/>
    <numFmt numFmtId="170" formatCode="d\ mmmm\ yy"/>
    <numFmt numFmtId="171" formatCode="&quot;₹&quot;\ #,##0"/>
  </numFmts>
  <fonts count="134">
    <font>
      <sz val="11"/>
      <color theme="1"/>
      <name val="Aptos Narrow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b/>
      <sz val="12"/>
      <color rgb="FF000000"/>
      <name val="Calibri"/>
    </font>
    <font>
      <sz val="13"/>
      <color theme="1"/>
      <name val="Aptos Narrow"/>
      <scheme val="minor"/>
    </font>
    <font>
      <b/>
      <sz val="13"/>
      <color rgb="FFFF9900"/>
      <name val="Calibri"/>
    </font>
    <font>
      <b/>
      <sz val="13"/>
      <color rgb="FFE69138"/>
      <name val="Calibri"/>
    </font>
    <font>
      <b/>
      <sz val="13"/>
      <color theme="1"/>
      <name val="Calibri"/>
    </font>
    <font>
      <b/>
      <sz val="13"/>
      <color theme="1"/>
      <name val="Aptos Narrow"/>
    </font>
    <font>
      <b/>
      <sz val="13"/>
      <color theme="1"/>
      <name val="Arial"/>
    </font>
    <font>
      <sz val="11"/>
      <color theme="1"/>
      <name val="Arial"/>
    </font>
    <font>
      <sz val="13"/>
      <color theme="1"/>
      <name val="Calibri"/>
    </font>
    <font>
      <sz val="13"/>
      <color rgb="FF0000FF"/>
      <name val="Calibri"/>
    </font>
    <font>
      <sz val="13"/>
      <color theme="8"/>
      <name val="Calibri"/>
    </font>
    <font>
      <sz val="13"/>
      <color theme="8"/>
      <name val="Aptos Narrow"/>
    </font>
    <font>
      <sz val="13"/>
      <color rgb="FFFF0000"/>
      <name val="Calibri"/>
    </font>
    <font>
      <sz val="11"/>
      <color rgb="FF000000"/>
      <name val="Calibri"/>
    </font>
    <font>
      <b/>
      <sz val="13"/>
      <color rgb="FF0000FF"/>
      <name val="Calibri"/>
    </font>
    <font>
      <sz val="13"/>
      <color theme="1"/>
      <name val="Aptos Narrow"/>
    </font>
    <font>
      <sz val="13"/>
      <color rgb="FFC51D0B"/>
      <name val="Calibri"/>
    </font>
    <font>
      <b/>
      <sz val="13"/>
      <color rgb="FF275317"/>
      <name val="Calibri"/>
    </font>
    <font>
      <b/>
      <sz val="13"/>
      <color rgb="FF6AA84F"/>
      <name val="Calibri"/>
    </font>
    <font>
      <b/>
      <strike/>
      <sz val="13"/>
      <color theme="1"/>
      <name val="Calibri"/>
    </font>
    <font>
      <b/>
      <strike/>
      <sz val="13"/>
      <color rgb="FFFF9900"/>
      <name val="Calibri"/>
    </font>
    <font>
      <strike/>
      <sz val="13"/>
      <color theme="1"/>
      <name val="Calibri"/>
    </font>
    <font>
      <strike/>
      <sz val="13"/>
      <color theme="1"/>
      <name val="Aptos Narrow"/>
      <scheme val="minor"/>
    </font>
    <font>
      <b/>
      <strike/>
      <sz val="13"/>
      <color theme="1"/>
      <name val="Aptos Narrow"/>
    </font>
    <font>
      <i/>
      <strike/>
      <sz val="13"/>
      <color theme="8"/>
      <name val="Calibri"/>
    </font>
    <font>
      <b/>
      <strike/>
      <sz val="13"/>
      <color theme="1"/>
      <name val="Arial"/>
    </font>
    <font>
      <strike/>
      <sz val="13"/>
      <color rgb="FF0000FF"/>
      <name val="Calibri"/>
    </font>
    <font>
      <b/>
      <i/>
      <strike/>
      <sz val="13"/>
      <color theme="8"/>
      <name val="Calibri"/>
    </font>
    <font>
      <strike/>
      <sz val="13"/>
      <color rgb="FFFF0000"/>
      <name val="Calibri"/>
    </font>
    <font>
      <strike/>
      <sz val="12"/>
      <color rgb="FF000000"/>
      <name val="Calibri"/>
    </font>
    <font>
      <strike/>
      <sz val="11"/>
      <color theme="1"/>
      <name val="Aptos Narrow"/>
      <scheme val="minor"/>
    </font>
    <font>
      <b/>
      <strike/>
      <sz val="13"/>
      <color rgb="FF388600"/>
      <name val="Calibri"/>
    </font>
    <font>
      <b/>
      <sz val="13"/>
      <color rgb="FF388600"/>
      <name val="Aptos Narrow"/>
    </font>
    <font>
      <b/>
      <sz val="13"/>
      <color rgb="FF388600"/>
      <name val="Aptos Narrow"/>
      <scheme val="minor"/>
    </font>
    <font>
      <sz val="11"/>
      <color theme="1"/>
      <name val="Aptos Narrow"/>
      <scheme val="minor"/>
    </font>
    <font>
      <b/>
      <sz val="13"/>
      <color rgb="FF000000"/>
      <name val="Calibri"/>
    </font>
    <font>
      <b/>
      <sz val="11"/>
      <color rgb="FF1F1F1F"/>
      <name val="&quot;Google Sans&quot;"/>
    </font>
    <font>
      <b/>
      <sz val="11"/>
      <color rgb="FF000000"/>
      <name val="Calibri"/>
    </font>
    <font>
      <sz val="11"/>
      <color rgb="FF0000FF"/>
      <name val="Arial"/>
    </font>
    <font>
      <i/>
      <sz val="13"/>
      <color rgb="FFA02B93"/>
      <name val="Calibri"/>
    </font>
    <font>
      <i/>
      <sz val="13"/>
      <color theme="8"/>
      <name val="Calibri"/>
    </font>
    <font>
      <sz val="11"/>
      <color theme="8"/>
      <name val="Arial"/>
    </font>
    <font>
      <sz val="11"/>
      <color rgb="FF000000"/>
      <name val="Calibri"/>
    </font>
    <font>
      <b/>
      <sz val="11"/>
      <color rgb="FF388600"/>
      <name val="Aptos Narrow"/>
      <scheme val="minor"/>
    </font>
    <font>
      <b/>
      <sz val="13"/>
      <color rgb="FF388600"/>
      <name val="Calibri"/>
    </font>
    <font>
      <b/>
      <i/>
      <sz val="13"/>
      <color theme="8"/>
      <name val="Calibri"/>
    </font>
    <font>
      <b/>
      <sz val="11"/>
      <color rgb="FF000000"/>
      <name val="Calibri"/>
    </font>
    <font>
      <sz val="13"/>
      <color theme="1"/>
      <name val="Arial"/>
    </font>
    <font>
      <b/>
      <sz val="12"/>
      <color theme="5"/>
      <name val="Helvetica Neue"/>
    </font>
    <font>
      <b/>
      <sz val="13"/>
      <color theme="1"/>
      <name val="Helvetica Neue"/>
    </font>
    <font>
      <b/>
      <sz val="13"/>
      <color theme="5"/>
      <name val="Times New Roman"/>
    </font>
    <font>
      <sz val="13"/>
      <color theme="5"/>
      <name val="Aptos Narrow"/>
    </font>
    <font>
      <b/>
      <sz val="13"/>
      <color rgb="FFFF9900"/>
      <name val="Arial"/>
    </font>
    <font>
      <sz val="13"/>
      <color theme="1"/>
      <name val="Times New Roman"/>
    </font>
    <font>
      <sz val="13"/>
      <color rgb="FF3333FF"/>
      <name val="Aptos Narrow"/>
    </font>
    <font>
      <sz val="13"/>
      <color rgb="FF3333FF"/>
      <name val="Arial"/>
    </font>
    <font>
      <sz val="13"/>
      <color rgb="FF3333FF"/>
      <name val="Aptos Narrow"/>
      <scheme val="minor"/>
    </font>
    <font>
      <i/>
      <sz val="13"/>
      <color theme="1"/>
      <name val="Times New Roman"/>
    </font>
    <font>
      <sz val="13"/>
      <color rgb="FFFF0000"/>
      <name val="Aptos Narrow"/>
    </font>
    <font>
      <sz val="13"/>
      <color rgb="FFFF0000"/>
      <name val="Arial"/>
    </font>
    <font>
      <b/>
      <sz val="14"/>
      <color rgb="FF000000"/>
      <name val="Calibri"/>
    </font>
    <font>
      <b/>
      <sz val="11"/>
      <color theme="1"/>
      <name val="Aptos Narrow"/>
      <scheme val="minor"/>
    </font>
    <font>
      <b/>
      <sz val="11"/>
      <color theme="1"/>
      <name val="Arial"/>
    </font>
    <font>
      <b/>
      <sz val="13"/>
      <color rgb="FF388600"/>
      <name val="Arial"/>
    </font>
    <font>
      <b/>
      <sz val="10"/>
      <color theme="1"/>
      <name val="Times New Roman"/>
    </font>
    <font>
      <b/>
      <sz val="11"/>
      <color rgb="FFFFC000"/>
      <name val="Times New Roman"/>
    </font>
    <font>
      <b/>
      <sz val="12"/>
      <color theme="1"/>
      <name val="Times New Roman"/>
    </font>
    <font>
      <b/>
      <sz val="13"/>
      <color theme="1"/>
      <name val="Aptos Narrow"/>
      <scheme val="minor"/>
    </font>
    <font>
      <sz val="10"/>
      <color theme="1"/>
      <name val="Times New Roman"/>
    </font>
    <font>
      <sz val="12"/>
      <color theme="1"/>
      <name val="Aptos Narrow"/>
      <scheme val="minor"/>
    </font>
    <font>
      <sz val="10"/>
      <color rgb="FF78206E"/>
      <name val="Times New Roman"/>
    </font>
    <font>
      <b/>
      <sz val="12"/>
      <color rgb="FF78206E"/>
      <name val="Times New Roman"/>
    </font>
    <font>
      <sz val="11"/>
      <color theme="1"/>
      <name val="Times New Roman"/>
    </font>
    <font>
      <sz val="11"/>
      <color rgb="FF275317"/>
      <name val="Times New Roman"/>
    </font>
    <font>
      <b/>
      <sz val="12"/>
      <color rgb="FF275317"/>
      <name val="Times New Roman"/>
    </font>
    <font>
      <b/>
      <sz val="12"/>
      <color rgb="FF388600"/>
      <name val="Times New Roman"/>
    </font>
    <font>
      <b/>
      <sz val="12"/>
      <color theme="1"/>
      <name val="Arial"/>
    </font>
    <font>
      <b/>
      <sz val="14"/>
      <color rgb="FF388600"/>
      <name val="Calibri"/>
    </font>
    <font>
      <b/>
      <sz val="14"/>
      <color rgb="FF388600"/>
      <name val="Aptos Narrow"/>
      <scheme val="minor"/>
    </font>
    <font>
      <b/>
      <sz val="14"/>
      <color rgb="FF388600"/>
      <name val="Arial"/>
    </font>
    <font>
      <sz val="11"/>
      <color theme="1"/>
      <name val="Calibri"/>
    </font>
    <font>
      <b/>
      <sz val="11"/>
      <color rgb="FFFF6D01"/>
      <name val="Calibri"/>
    </font>
    <font>
      <sz val="12"/>
      <color rgb="FF000000"/>
      <name val="&quot;Aptos Narrow&quot;"/>
    </font>
    <font>
      <b/>
      <i/>
      <sz val="11"/>
      <color rgb="FF741B47"/>
      <name val="Calibri"/>
    </font>
    <font>
      <b/>
      <sz val="11"/>
      <color rgb="FFA02B93"/>
      <name val="Arial"/>
    </font>
    <font>
      <b/>
      <sz val="11"/>
      <color rgb="FFFF0000"/>
      <name val="Calibri"/>
    </font>
    <font>
      <b/>
      <sz val="11"/>
      <color rgb="FF388600"/>
      <name val="Calibri"/>
    </font>
    <font>
      <b/>
      <sz val="12"/>
      <color rgb="FF388600"/>
      <name val="&quot;Aptos Narrow&quot;"/>
    </font>
    <font>
      <b/>
      <sz val="12"/>
      <color rgb="FF388600"/>
      <name val="Arial"/>
    </font>
    <font>
      <b/>
      <sz val="11"/>
      <color rgb="FF34A853"/>
      <name val="Calibri"/>
    </font>
    <font>
      <b/>
      <sz val="13"/>
      <color rgb="FFED7D31"/>
      <name val="Calibri"/>
    </font>
    <font>
      <b/>
      <sz val="13"/>
      <color rgb="FFED7D31"/>
      <name val="&quot;Aptos Narrow&quot;"/>
    </font>
    <font>
      <b/>
      <sz val="11"/>
      <color rgb="FFED7D31"/>
      <name val="Calibri"/>
    </font>
    <font>
      <sz val="13"/>
      <color rgb="FF000000"/>
      <name val="&quot;Aptos Narrow&quot;"/>
    </font>
    <font>
      <sz val="13"/>
      <color rgb="FF000000"/>
      <name val="Calibri"/>
    </font>
    <font>
      <i/>
      <sz val="13"/>
      <color rgb="FF7030A0"/>
      <name val="Calibri"/>
    </font>
    <font>
      <sz val="13"/>
      <color rgb="FF7030A0"/>
      <name val="&quot;Aptos Narrow&quot;"/>
    </font>
    <font>
      <sz val="13"/>
      <color rgb="FF7030A0"/>
      <name val="Calibri"/>
    </font>
    <font>
      <sz val="11"/>
      <color rgb="FF7030A0"/>
      <name val="Calibri"/>
    </font>
    <font>
      <sz val="11"/>
      <color rgb="FFFF0000"/>
      <name val="Calibri"/>
    </font>
    <font>
      <b/>
      <sz val="13"/>
      <color rgb="FF70AD47"/>
      <name val="Calibri"/>
    </font>
    <font>
      <b/>
      <sz val="13"/>
      <color rgb="FF70AD47"/>
      <name val="&quot;Aptos Narrow&quot;"/>
    </font>
    <font>
      <b/>
      <sz val="11"/>
      <color rgb="FF70AD47"/>
      <name val="Calibri"/>
    </font>
    <font>
      <b/>
      <sz val="11"/>
      <color rgb="FFED7D31"/>
      <name val="&quot;Aptos Narrow&quot;"/>
    </font>
    <font>
      <b/>
      <sz val="11"/>
      <color rgb="FFED7D31"/>
      <name val="Arial"/>
    </font>
    <font>
      <b/>
      <sz val="11"/>
      <color rgb="FFE50000"/>
      <name val="Calibri"/>
    </font>
    <font>
      <b/>
      <sz val="13"/>
      <color rgb="FFED220B"/>
      <name val="Calibri"/>
    </font>
    <font>
      <b/>
      <sz val="13"/>
      <color rgb="FFED220B"/>
      <name val="Aptos Narrow"/>
      <scheme val="minor"/>
    </font>
    <font>
      <b/>
      <sz val="13"/>
      <color rgb="FF70AD47"/>
      <name val="Aptos Narrow"/>
      <scheme val="minor"/>
    </font>
    <font>
      <b/>
      <sz val="13"/>
      <color rgb="FFFF9900"/>
      <name val="Aptos Narrow"/>
      <scheme val="minor"/>
    </font>
    <font>
      <b/>
      <sz val="10"/>
      <color theme="5"/>
      <name val="Helvetica Neue"/>
    </font>
    <font>
      <i/>
      <sz val="11"/>
      <color rgb="FF7030A0"/>
      <name val="Calibri"/>
    </font>
    <font>
      <sz val="13"/>
      <color rgb="FFFF0000"/>
      <name val="Times New Roman"/>
    </font>
    <font>
      <sz val="11"/>
      <color rgb="FFFF0000"/>
      <name val="Times New Roman"/>
    </font>
    <font>
      <sz val="11"/>
      <color rgb="FF000000"/>
      <name val="&quot;Aptos Narrow&quot;"/>
    </font>
    <font>
      <sz val="11"/>
      <color rgb="FF3A7D22"/>
      <name val="Times New Roman"/>
    </font>
    <font>
      <sz val="13"/>
      <color rgb="FF3A7D22"/>
      <name val="Times New Roman"/>
    </font>
    <font>
      <strike/>
      <sz val="13"/>
      <color theme="1"/>
      <name val="Arial"/>
    </font>
    <font>
      <strike/>
      <sz val="11"/>
      <color rgb="FF000000"/>
      <name val="Calibri"/>
    </font>
    <font>
      <i/>
      <strike/>
      <sz val="11"/>
      <color rgb="FF7030A0"/>
      <name val="Calibri"/>
    </font>
    <font>
      <strike/>
      <sz val="11"/>
      <color rgb="FFFF0000"/>
      <name val="Times New Roman"/>
    </font>
    <font>
      <strike/>
      <sz val="11"/>
      <color rgb="FF000000"/>
      <name val="&quot;Aptos Narrow&quot;"/>
    </font>
    <font>
      <strike/>
      <sz val="11"/>
      <color rgb="FFFF0000"/>
      <name val="Calibri"/>
    </font>
    <font>
      <sz val="11"/>
      <color rgb="FF000000"/>
      <name val="Arial"/>
    </font>
    <font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b/>
      <sz val="11"/>
      <color rgb="FFED0000"/>
      <name val="Calibri"/>
    </font>
    <font>
      <sz val="11"/>
      <color theme="1"/>
      <name val="Calibri"/>
    </font>
    <font>
      <b/>
      <sz val="12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7C7AC"/>
        <bgColor rgb="FFF7C7AC"/>
      </patternFill>
    </fill>
    <fill>
      <patternFill patternType="solid">
        <fgColor rgb="FF83E28E"/>
        <bgColor rgb="FF83E28E"/>
      </patternFill>
    </fill>
    <fill>
      <patternFill patternType="solid">
        <fgColor rgb="FFD86DCD"/>
        <bgColor rgb="FFD86DCD"/>
      </patternFill>
    </fill>
    <fill>
      <patternFill patternType="solid">
        <fgColor rgb="FF8ED973"/>
        <bgColor rgb="FF8ED973"/>
      </patternFill>
    </fill>
    <fill>
      <patternFill patternType="solid">
        <fgColor rgb="FFE97132"/>
        <bgColor rgb="FFE97132"/>
      </patternFill>
    </fill>
    <fill>
      <patternFill patternType="solid">
        <fgColor rgb="FF4A86E8"/>
        <bgColor rgb="FF4A86E8"/>
      </patternFill>
    </fill>
    <fill>
      <patternFill patternType="solid">
        <fgColor rgb="FFB4A7D6"/>
        <bgColor rgb="FFB4A7D6"/>
      </patternFill>
    </fill>
    <fill>
      <patternFill patternType="solid">
        <fgColor rgb="FFC6E0B4"/>
        <bgColor rgb="FFC6E0B4"/>
      </patternFill>
    </fill>
  </fills>
  <borders count="4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ck">
        <color rgb="FF434343"/>
      </left>
      <right style="thick">
        <color rgb="FF434343"/>
      </right>
      <top style="thick">
        <color rgb="FF434343"/>
      </top>
      <bottom style="thick">
        <color rgb="FF434343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ck">
        <color rgb="FF434343"/>
      </left>
      <right style="thick">
        <color rgb="FF434343"/>
      </right>
      <top style="medium">
        <color rgb="FF000000"/>
      </top>
      <bottom style="thin">
        <color rgb="FF000000"/>
      </bottom>
      <diagonal/>
    </border>
    <border>
      <left style="thick">
        <color rgb="FF434343"/>
      </left>
      <right style="thick">
        <color rgb="FF434343"/>
      </right>
      <top/>
      <bottom style="thin">
        <color rgb="FF000000"/>
      </bottom>
      <diagonal/>
    </border>
    <border>
      <left style="thick">
        <color rgb="FF434343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434343"/>
      </left>
      <right style="thick">
        <color rgb="FF434343"/>
      </right>
      <top style="medium">
        <color rgb="FFCCCCCC"/>
      </top>
      <bottom style="medium">
        <color rgb="FF000000"/>
      </bottom>
      <diagonal/>
    </border>
    <border>
      <left style="thick">
        <color rgb="FF434343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434343"/>
      </left>
      <right style="medium">
        <color rgb="FF000000"/>
      </right>
      <top style="medium">
        <color rgb="FFCCCCCC"/>
      </top>
      <bottom/>
      <diagonal/>
    </border>
    <border>
      <left style="thick">
        <color rgb="FF434343"/>
      </left>
      <right style="thick">
        <color rgb="FF434343"/>
      </right>
      <top/>
      <bottom/>
      <diagonal/>
    </border>
    <border>
      <left style="thick">
        <color rgb="FF434343"/>
      </left>
      <right style="thick">
        <color rgb="FF434343"/>
      </right>
      <top/>
      <bottom style="thick">
        <color rgb="FF434343"/>
      </bottom>
      <diagonal/>
    </border>
    <border>
      <left style="thick">
        <color rgb="FF434343"/>
      </left>
      <right style="thick">
        <color rgb="FF434343"/>
      </right>
      <top style="thick">
        <color rgb="FF434343"/>
      </top>
      <bottom style="medium">
        <color rgb="FF000000"/>
      </bottom>
      <diagonal/>
    </border>
    <border>
      <left style="thick">
        <color rgb="FF434343"/>
      </left>
      <right style="medium">
        <color rgb="FF000000"/>
      </right>
      <top style="thick">
        <color rgb="FF434343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ck">
        <color rgb="FF434343"/>
      </bottom>
      <diagonal/>
    </border>
    <border>
      <left/>
      <right/>
      <top style="thick">
        <color rgb="FF434343"/>
      </top>
      <bottom style="thick">
        <color rgb="FF434343"/>
      </bottom>
      <diagonal/>
    </border>
    <border>
      <left/>
      <right/>
      <top style="thick">
        <color rgb="FF434343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9" fontId="38" fillId="0" borderId="0" applyFont="0" applyFill="0" applyBorder="0" applyAlignment="0" applyProtection="0"/>
  </cellStyleXfs>
  <cellXfs count="361">
    <xf numFmtId="0" fontId="0" fillId="0" borderId="0" xfId="0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/>
    <xf numFmtId="49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164" fontId="2" fillId="0" borderId="1" xfId="0" applyNumberFormat="1" applyFont="1" applyBorder="1"/>
    <xf numFmtId="0" fontId="2" fillId="0" borderId="2" xfId="0" applyFont="1" applyBorder="1"/>
    <xf numFmtId="164" fontId="2" fillId="0" borderId="0" xfId="0" applyNumberFormat="1" applyFont="1"/>
    <xf numFmtId="0" fontId="3" fillId="2" borderId="0" xfId="0" applyFont="1" applyFill="1" applyAlignment="1">
      <alignment vertical="top" wrapText="1"/>
    </xf>
    <xf numFmtId="165" fontId="2" fillId="0" borderId="0" xfId="0" applyNumberFormat="1" applyFont="1"/>
    <xf numFmtId="166" fontId="3" fillId="2" borderId="0" xfId="0" applyNumberFormat="1" applyFont="1" applyFill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2" fillId="0" borderId="0" xfId="0" applyNumberFormat="1" applyFont="1"/>
    <xf numFmtId="167" fontId="2" fillId="0" borderId="0" xfId="0" applyNumberFormat="1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5" fillId="0" borderId="0" xfId="0" applyFont="1"/>
    <xf numFmtId="0" fontId="6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8" fillId="0" borderId="4" xfId="0" applyFont="1" applyBorder="1" applyAlignment="1">
      <alignment wrapText="1"/>
    </xf>
    <xf numFmtId="0" fontId="9" fillId="0" borderId="4" xfId="0" applyFont="1" applyBorder="1"/>
    <xf numFmtId="0" fontId="9" fillId="0" borderId="0" xfId="0" applyFont="1"/>
    <xf numFmtId="0" fontId="10" fillId="0" borderId="4" xfId="0" applyFont="1" applyBorder="1"/>
    <xf numFmtId="0" fontId="11" fillId="0" borderId="0" xfId="0" applyFont="1"/>
    <xf numFmtId="0" fontId="12" fillId="0" borderId="4" xfId="0" applyFont="1" applyBorder="1" applyAlignment="1">
      <alignment wrapText="1"/>
    </xf>
    <xf numFmtId="0" fontId="13" fillId="0" borderId="4" xfId="0" applyFont="1" applyBorder="1" applyAlignment="1">
      <alignment horizontal="right" wrapText="1"/>
    </xf>
    <xf numFmtId="0" fontId="14" fillId="0" borderId="4" xfId="0" applyFont="1" applyBorder="1" applyAlignment="1">
      <alignment wrapText="1"/>
    </xf>
    <xf numFmtId="0" fontId="14" fillId="0" borderId="4" xfId="0" applyFont="1" applyBorder="1" applyAlignment="1">
      <alignment horizontal="right" wrapText="1"/>
    </xf>
    <xf numFmtId="0" fontId="15" fillId="0" borderId="0" xfId="0" applyFont="1"/>
    <xf numFmtId="0" fontId="16" fillId="0" borderId="4" xfId="0" applyFont="1" applyBorder="1" applyAlignment="1">
      <alignment horizontal="right" wrapText="1"/>
    </xf>
    <xf numFmtId="0" fontId="17" fillId="3" borderId="4" xfId="0" applyFont="1" applyFill="1" applyBorder="1" applyAlignment="1">
      <alignment horizontal="right"/>
    </xf>
    <xf numFmtId="0" fontId="18" fillId="0" borderId="4" xfId="0" applyFont="1" applyBorder="1" applyAlignment="1">
      <alignment horizontal="right" wrapText="1"/>
    </xf>
    <xf numFmtId="0" fontId="19" fillId="4" borderId="5" xfId="0" applyFont="1" applyFill="1" applyBorder="1"/>
    <xf numFmtId="0" fontId="20" fillId="0" borderId="4" xfId="0" applyFont="1" applyBorder="1" applyAlignment="1">
      <alignment wrapText="1"/>
    </xf>
    <xf numFmtId="0" fontId="21" fillId="0" borderId="4" xfId="0" applyFont="1" applyBorder="1" applyAlignment="1">
      <alignment wrapText="1"/>
    </xf>
    <xf numFmtId="0" fontId="22" fillId="0" borderId="4" xfId="0" applyFont="1" applyBorder="1" applyAlignment="1">
      <alignment horizontal="right" wrapText="1"/>
    </xf>
    <xf numFmtId="0" fontId="8" fillId="0" borderId="6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23" fillId="0" borderId="4" xfId="0" applyFont="1" applyBorder="1" applyAlignment="1">
      <alignment wrapText="1"/>
    </xf>
    <xf numFmtId="0" fontId="24" fillId="0" borderId="4" xfId="0" applyFont="1" applyBorder="1" applyAlignment="1">
      <alignment horizontal="right" wrapText="1"/>
    </xf>
    <xf numFmtId="0" fontId="25" fillId="0" borderId="4" xfId="0" applyFont="1" applyBorder="1" applyAlignment="1">
      <alignment wrapText="1"/>
    </xf>
    <xf numFmtId="0" fontId="26" fillId="0" borderId="4" xfId="0" applyFont="1" applyBorder="1"/>
    <xf numFmtId="0" fontId="27" fillId="0" borderId="4" xfId="0" applyFont="1" applyBorder="1"/>
    <xf numFmtId="0" fontId="28" fillId="0" borderId="4" xfId="0" applyFont="1" applyBorder="1" applyAlignment="1">
      <alignment wrapText="1"/>
    </xf>
    <xf numFmtId="3" fontId="29" fillId="0" borderId="4" xfId="0" applyNumberFormat="1" applyFont="1" applyBorder="1" applyAlignment="1">
      <alignment horizontal="right" wrapText="1"/>
    </xf>
    <xf numFmtId="0" fontId="29" fillId="0" borderId="4" xfId="0" applyFont="1" applyBorder="1" applyAlignment="1">
      <alignment horizontal="right" wrapText="1"/>
    </xf>
    <xf numFmtId="0" fontId="30" fillId="0" borderId="4" xfId="0" applyFont="1" applyBorder="1" applyAlignment="1">
      <alignment horizontal="right" wrapText="1"/>
    </xf>
    <xf numFmtId="0" fontId="31" fillId="0" borderId="4" xfId="0" applyFont="1" applyBorder="1" applyAlignment="1">
      <alignment horizontal="right" wrapText="1"/>
    </xf>
    <xf numFmtId="0" fontId="28" fillId="0" borderId="4" xfId="0" applyFont="1" applyBorder="1" applyAlignment="1">
      <alignment horizontal="right" wrapText="1"/>
    </xf>
    <xf numFmtId="0" fontId="32" fillId="0" borderId="4" xfId="0" applyFont="1" applyBorder="1" applyAlignment="1">
      <alignment horizontal="right" wrapText="1"/>
    </xf>
    <xf numFmtId="1" fontId="33" fillId="2" borderId="4" xfId="0" applyNumberFormat="1" applyFont="1" applyFill="1" applyBorder="1"/>
    <xf numFmtId="3" fontId="25" fillId="0" borderId="4" xfId="0" applyNumberFormat="1" applyFont="1" applyBorder="1" applyAlignment="1">
      <alignment wrapText="1"/>
    </xf>
    <xf numFmtId="0" fontId="34" fillId="0" borderId="4" xfId="0" applyFont="1" applyBorder="1"/>
    <xf numFmtId="1" fontId="30" fillId="0" borderId="4" xfId="0" applyNumberFormat="1" applyFont="1" applyBorder="1" applyAlignment="1">
      <alignment horizontal="right" wrapText="1"/>
    </xf>
    <xf numFmtId="1" fontId="19" fillId="4" borderId="5" xfId="0" applyNumberFormat="1" applyFont="1" applyFill="1" applyBorder="1"/>
    <xf numFmtId="3" fontId="35" fillId="0" borderId="4" xfId="0" applyNumberFormat="1" applyFont="1" applyBorder="1" applyAlignment="1">
      <alignment wrapText="1"/>
    </xf>
    <xf numFmtId="0" fontId="35" fillId="0" borderId="4" xfId="0" applyFont="1" applyBorder="1" applyAlignment="1">
      <alignment wrapText="1"/>
    </xf>
    <xf numFmtId="1" fontId="35" fillId="0" borderId="4" xfId="0" applyNumberFormat="1" applyFont="1" applyBorder="1" applyAlignment="1">
      <alignment horizontal="right" wrapText="1"/>
    </xf>
    <xf numFmtId="1" fontId="36" fillId="4" borderId="5" xfId="0" applyNumberFormat="1" applyFont="1" applyFill="1" applyBorder="1"/>
    <xf numFmtId="0" fontId="37" fillId="0" borderId="0" xfId="0" applyFont="1"/>
    <xf numFmtId="0" fontId="38" fillId="0" borderId="4" xfId="0" applyFont="1" applyBorder="1"/>
    <xf numFmtId="0" fontId="5" fillId="0" borderId="4" xfId="0" applyFont="1" applyBorder="1"/>
    <xf numFmtId="0" fontId="39" fillId="5" borderId="4" xfId="0" applyFont="1" applyFill="1" applyBorder="1"/>
    <xf numFmtId="0" fontId="40" fillId="5" borderId="4" xfId="0" applyFont="1" applyFill="1" applyBorder="1" applyAlignment="1">
      <alignment horizontal="right"/>
    </xf>
    <xf numFmtId="0" fontId="41" fillId="5" borderId="4" xfId="0" applyFont="1" applyFill="1" applyBorder="1" applyAlignment="1">
      <alignment horizontal="right"/>
    </xf>
    <xf numFmtId="0" fontId="42" fillId="0" borderId="4" xfId="0" applyFont="1" applyBorder="1"/>
    <xf numFmtId="0" fontId="43" fillId="0" borderId="4" xfId="0" applyFont="1" applyBorder="1" applyAlignment="1">
      <alignment wrapText="1"/>
    </xf>
    <xf numFmtId="0" fontId="44" fillId="0" borderId="4" xfId="0" applyFont="1" applyBorder="1" applyAlignment="1">
      <alignment horizontal="right" wrapText="1"/>
    </xf>
    <xf numFmtId="0" fontId="45" fillId="0" borderId="4" xfId="0" applyFont="1" applyBorder="1"/>
    <xf numFmtId="0" fontId="46" fillId="0" borderId="4" xfId="0" applyFont="1" applyBorder="1" applyAlignment="1">
      <alignment horizontal="right"/>
    </xf>
    <xf numFmtId="1" fontId="3" fillId="2" borderId="4" xfId="0" applyNumberFormat="1" applyFont="1" applyFill="1" applyBorder="1"/>
    <xf numFmtId="1" fontId="13" fillId="0" borderId="4" xfId="0" applyNumberFormat="1" applyFont="1" applyBorder="1" applyAlignment="1">
      <alignment horizontal="right" wrapText="1"/>
    </xf>
    <xf numFmtId="1" fontId="38" fillId="0" borderId="4" xfId="0" applyNumberFormat="1" applyFont="1" applyBorder="1"/>
    <xf numFmtId="0" fontId="47" fillId="0" borderId="4" xfId="0" applyFont="1" applyBorder="1"/>
    <xf numFmtId="1" fontId="48" fillId="0" borderId="4" xfId="0" applyNumberFormat="1" applyFont="1" applyBorder="1" applyAlignment="1">
      <alignment horizontal="right" wrapText="1"/>
    </xf>
    <xf numFmtId="1" fontId="47" fillId="0" borderId="4" xfId="0" applyNumberFormat="1" applyFont="1" applyBorder="1"/>
    <xf numFmtId="0" fontId="12" fillId="0" borderId="0" xfId="0" applyFont="1" applyAlignment="1">
      <alignment wrapText="1"/>
    </xf>
    <xf numFmtId="1" fontId="5" fillId="0" borderId="0" xfId="0" applyNumberFormat="1" applyFont="1"/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horizontal="right" wrapText="1"/>
    </xf>
    <xf numFmtId="0" fontId="8" fillId="0" borderId="10" xfId="0" applyFont="1" applyBorder="1" applyAlignment="1">
      <alignment wrapText="1"/>
    </xf>
    <xf numFmtId="0" fontId="9" fillId="0" borderId="11" xfId="0" applyFont="1" applyBorder="1"/>
    <xf numFmtId="0" fontId="9" fillId="0" borderId="12" xfId="0" applyFont="1" applyBorder="1"/>
    <xf numFmtId="0" fontId="8" fillId="0" borderId="13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9" fillId="0" borderId="14" xfId="0" applyFont="1" applyBorder="1"/>
    <xf numFmtId="0" fontId="12" fillId="0" borderId="15" xfId="0" applyFont="1" applyBorder="1" applyAlignment="1">
      <alignment wrapText="1"/>
    </xf>
    <xf numFmtId="3" fontId="10" fillId="0" borderId="16" xfId="0" applyNumberFormat="1" applyFont="1" applyBorder="1" applyAlignment="1">
      <alignment horizontal="right" wrapText="1"/>
    </xf>
    <xf numFmtId="0" fontId="10" fillId="0" borderId="16" xfId="0" applyFont="1" applyBorder="1" applyAlignment="1">
      <alignment horizontal="right" wrapText="1"/>
    </xf>
    <xf numFmtId="0" fontId="13" fillId="0" borderId="16" xfId="0" applyFont="1" applyBorder="1" applyAlignment="1">
      <alignment horizontal="right" wrapText="1"/>
    </xf>
    <xf numFmtId="0" fontId="13" fillId="0" borderId="17" xfId="0" applyFont="1" applyBorder="1" applyAlignment="1">
      <alignment horizontal="right" wrapText="1"/>
    </xf>
    <xf numFmtId="0" fontId="44" fillId="0" borderId="15" xfId="0" applyFont="1" applyBorder="1" applyAlignment="1">
      <alignment wrapText="1"/>
    </xf>
    <xf numFmtId="0" fontId="49" fillId="0" borderId="16" xfId="0" applyFont="1" applyBorder="1" applyAlignment="1">
      <alignment horizontal="right" wrapText="1"/>
    </xf>
    <xf numFmtId="0" fontId="44" fillId="0" borderId="16" xfId="0" applyFont="1" applyBorder="1" applyAlignment="1">
      <alignment horizontal="right" wrapText="1"/>
    </xf>
    <xf numFmtId="0" fontId="12" fillId="0" borderId="16" xfId="0" applyFont="1" applyBorder="1" applyAlignment="1">
      <alignment wrapText="1"/>
    </xf>
    <xf numFmtId="0" fontId="16" fillId="0" borderId="16" xfId="0" applyFont="1" applyBorder="1" applyAlignment="1">
      <alignment horizontal="right" wrapText="1"/>
    </xf>
    <xf numFmtId="1" fontId="3" fillId="2" borderId="18" xfId="0" applyNumberFormat="1" applyFont="1" applyFill="1" applyBorder="1"/>
    <xf numFmtId="3" fontId="12" fillId="0" borderId="16" xfId="0" applyNumberFormat="1" applyFont="1" applyBorder="1" applyAlignment="1">
      <alignment wrapText="1"/>
    </xf>
    <xf numFmtId="0" fontId="19" fillId="4" borderId="19" xfId="0" applyFont="1" applyFill="1" applyBorder="1"/>
    <xf numFmtId="0" fontId="12" fillId="0" borderId="6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1" fontId="13" fillId="0" borderId="20" xfId="0" applyNumberFormat="1" applyFont="1" applyBorder="1" applyAlignment="1">
      <alignment horizontal="right" wrapText="1"/>
    </xf>
    <xf numFmtId="1" fontId="19" fillId="4" borderId="19" xfId="0" applyNumberFormat="1" applyFont="1" applyFill="1" applyBorder="1"/>
    <xf numFmtId="0" fontId="48" fillId="0" borderId="4" xfId="0" applyFont="1" applyBorder="1" applyAlignment="1">
      <alignment wrapText="1"/>
    </xf>
    <xf numFmtId="3" fontId="48" fillId="0" borderId="4" xfId="0" applyNumberFormat="1" applyFont="1" applyBorder="1" applyAlignment="1">
      <alignment wrapText="1"/>
    </xf>
    <xf numFmtId="0" fontId="47" fillId="0" borderId="0" xfId="0" applyFont="1"/>
    <xf numFmtId="0" fontId="50" fillId="5" borderId="18" xfId="0" applyFont="1" applyFill="1" applyBorder="1" applyAlignment="1">
      <alignment horizontal="right"/>
    </xf>
    <xf numFmtId="0" fontId="8" fillId="0" borderId="21" xfId="0" applyFont="1" applyBorder="1" applyAlignment="1">
      <alignment wrapText="1"/>
    </xf>
    <xf numFmtId="0" fontId="9" fillId="0" borderId="21" xfId="0" applyFont="1" applyBorder="1"/>
    <xf numFmtId="0" fontId="8" fillId="0" borderId="22" xfId="0" applyFont="1" applyBorder="1" applyAlignment="1">
      <alignment wrapText="1"/>
    </xf>
    <xf numFmtId="0" fontId="9" fillId="0" borderId="23" xfId="0" applyFont="1" applyBorder="1"/>
    <xf numFmtId="0" fontId="41" fillId="5" borderId="0" xfId="0" applyFont="1" applyFill="1" applyAlignment="1">
      <alignment horizontal="right"/>
    </xf>
    <xf numFmtId="0" fontId="13" fillId="0" borderId="24" xfId="0" applyFont="1" applyBorder="1" applyAlignment="1">
      <alignment horizontal="right" wrapText="1"/>
    </xf>
    <xf numFmtId="0" fontId="13" fillId="0" borderId="25" xfId="0" applyFont="1" applyBorder="1" applyAlignment="1">
      <alignment horizontal="right" wrapText="1"/>
    </xf>
    <xf numFmtId="0" fontId="44" fillId="0" borderId="24" xfId="0" applyFont="1" applyBorder="1" applyAlignment="1">
      <alignment horizontal="right" wrapText="1"/>
    </xf>
    <xf numFmtId="0" fontId="43" fillId="0" borderId="24" xfId="0" applyFont="1" applyBorder="1" applyAlignment="1">
      <alignment horizontal="right" wrapText="1"/>
    </xf>
    <xf numFmtId="0" fontId="43" fillId="0" borderId="25" xfId="0" applyFont="1" applyBorder="1" applyAlignment="1">
      <alignment horizontal="right" wrapText="1"/>
    </xf>
    <xf numFmtId="0" fontId="16" fillId="0" borderId="24" xfId="0" applyFont="1" applyBorder="1" applyAlignment="1">
      <alignment horizontal="right" wrapText="1"/>
    </xf>
    <xf numFmtId="0" fontId="16" fillId="0" borderId="25" xfId="0" applyFont="1" applyBorder="1" applyAlignment="1">
      <alignment horizontal="right" wrapText="1"/>
    </xf>
    <xf numFmtId="0" fontId="51" fillId="0" borderId="4" xfId="0" applyFont="1" applyBorder="1"/>
    <xf numFmtId="0" fontId="16" fillId="0" borderId="26" xfId="0" applyFont="1" applyBorder="1" applyAlignment="1">
      <alignment horizontal="right" wrapText="1"/>
    </xf>
    <xf numFmtId="0" fontId="38" fillId="0" borderId="27" xfId="0" applyFont="1" applyBorder="1"/>
    <xf numFmtId="0" fontId="38" fillId="0" borderId="28" xfId="0" applyFont="1" applyBorder="1"/>
    <xf numFmtId="0" fontId="13" fillId="0" borderId="29" xfId="0" applyFont="1" applyBorder="1" applyAlignment="1">
      <alignment horizontal="right" wrapText="1"/>
    </xf>
    <xf numFmtId="0" fontId="13" fillId="0" borderId="30" xfId="0" applyFont="1" applyBorder="1" applyAlignment="1">
      <alignment horizontal="right" wrapText="1"/>
    </xf>
    <xf numFmtId="0" fontId="13" fillId="0" borderId="20" xfId="0" applyFont="1" applyBorder="1" applyAlignment="1">
      <alignment horizontal="right" wrapText="1"/>
    </xf>
    <xf numFmtId="0" fontId="6" fillId="0" borderId="31" xfId="0" applyFont="1" applyBorder="1" applyAlignment="1">
      <alignment wrapText="1"/>
    </xf>
    <xf numFmtId="0" fontId="6" fillId="0" borderId="16" xfId="0" applyFont="1" applyBorder="1" applyAlignment="1">
      <alignment horizontal="right" wrapText="1"/>
    </xf>
    <xf numFmtId="0" fontId="12" fillId="0" borderId="31" xfId="0" applyFont="1" applyBorder="1" applyAlignment="1">
      <alignment wrapText="1"/>
    </xf>
    <xf numFmtId="0" fontId="8" fillId="0" borderId="15" xfId="0" applyFont="1" applyBorder="1" applyAlignment="1">
      <alignment wrapText="1"/>
    </xf>
    <xf numFmtId="0" fontId="8" fillId="0" borderId="32" xfId="0" applyFont="1" applyBorder="1" applyAlignment="1">
      <alignment wrapText="1"/>
    </xf>
    <xf numFmtId="0" fontId="43" fillId="0" borderId="16" xfId="0" applyFont="1" applyBorder="1" applyAlignment="1">
      <alignment horizontal="right" wrapText="1"/>
    </xf>
    <xf numFmtId="0" fontId="16" fillId="2" borderId="16" xfId="0" applyFont="1" applyFill="1" applyBorder="1" applyAlignment="1">
      <alignment horizontal="right" vertical="center" wrapText="1"/>
    </xf>
    <xf numFmtId="0" fontId="22" fillId="0" borderId="16" xfId="0" applyFont="1" applyBorder="1" applyAlignment="1">
      <alignment horizontal="right" wrapText="1"/>
    </xf>
    <xf numFmtId="0" fontId="52" fillId="2" borderId="33" xfId="0" applyFont="1" applyFill="1" applyBorder="1" applyAlignment="1">
      <alignment wrapText="1"/>
    </xf>
    <xf numFmtId="3" fontId="53" fillId="0" borderId="16" xfId="0" applyNumberFormat="1" applyFont="1" applyBorder="1" applyAlignment="1">
      <alignment horizontal="right" wrapText="1"/>
    </xf>
    <xf numFmtId="0" fontId="53" fillId="0" borderId="16" xfId="0" applyFont="1" applyBorder="1" applyAlignment="1">
      <alignment horizontal="right" wrapText="1"/>
    </xf>
    <xf numFmtId="0" fontId="52" fillId="2" borderId="34" xfId="0" applyFont="1" applyFill="1" applyBorder="1" applyAlignment="1">
      <alignment wrapText="1"/>
    </xf>
    <xf numFmtId="0" fontId="38" fillId="0" borderId="35" xfId="0" applyFont="1" applyBorder="1"/>
    <xf numFmtId="0" fontId="38" fillId="0" borderId="36" xfId="0" applyFont="1" applyBorder="1"/>
    <xf numFmtId="49" fontId="54" fillId="0" borderId="4" xfId="0" applyNumberFormat="1" applyFont="1" applyBorder="1" applyAlignment="1">
      <alignment horizontal="left"/>
    </xf>
    <xf numFmtId="0" fontId="55" fillId="0" borderId="4" xfId="0" applyFont="1" applyBorder="1"/>
    <xf numFmtId="0" fontId="56" fillId="0" borderId="4" xfId="0" applyFont="1" applyBorder="1"/>
    <xf numFmtId="0" fontId="57" fillId="0" borderId="4" xfId="0" applyFont="1" applyBorder="1" applyAlignment="1">
      <alignment wrapText="1"/>
    </xf>
    <xf numFmtId="0" fontId="58" fillId="0" borderId="4" xfId="0" applyFont="1" applyBorder="1"/>
    <xf numFmtId="0" fontId="59" fillId="0" borderId="4" xfId="0" applyFont="1" applyBorder="1"/>
    <xf numFmtId="0" fontId="60" fillId="0" borderId="4" xfId="0" applyFont="1" applyBorder="1"/>
    <xf numFmtId="0" fontId="58" fillId="0" borderId="0" xfId="0" applyFont="1"/>
    <xf numFmtId="0" fontId="61" fillId="0" borderId="4" xfId="0" applyFont="1" applyBorder="1" applyAlignment="1">
      <alignment wrapText="1"/>
    </xf>
    <xf numFmtId="0" fontId="19" fillId="0" borderId="4" xfId="0" applyFont="1" applyBorder="1"/>
    <xf numFmtId="0" fontId="19" fillId="0" borderId="0" xfId="0" applyFont="1"/>
    <xf numFmtId="0" fontId="62" fillId="0" borderId="4" xfId="0" applyFont="1" applyBorder="1"/>
    <xf numFmtId="0" fontId="62" fillId="0" borderId="0" xfId="0" applyFont="1"/>
    <xf numFmtId="0" fontId="63" fillId="0" borderId="4" xfId="0" applyFont="1" applyBorder="1"/>
    <xf numFmtId="0" fontId="19" fillId="0" borderId="5" xfId="0" applyFont="1" applyBorder="1"/>
    <xf numFmtId="0" fontId="19" fillId="0" borderId="37" xfId="0" applyFont="1" applyBorder="1"/>
    <xf numFmtId="0" fontId="36" fillId="0" borderId="4" xfId="0" applyFont="1" applyBorder="1"/>
    <xf numFmtId="0" fontId="37" fillId="0" borderId="4" xfId="0" applyFont="1" applyBorder="1"/>
    <xf numFmtId="0" fontId="36" fillId="0" borderId="0" xfId="0" applyFont="1"/>
    <xf numFmtId="0" fontId="36" fillId="0" borderId="37" xfId="0" applyFont="1" applyBorder="1"/>
    <xf numFmtId="0" fontId="8" fillId="5" borderId="4" xfId="0" applyFont="1" applyFill="1" applyBorder="1" applyAlignment="1">
      <alignment wrapText="1"/>
    </xf>
    <xf numFmtId="0" fontId="64" fillId="5" borderId="4" xfId="0" applyFont="1" applyFill="1" applyBorder="1" applyAlignment="1">
      <alignment horizontal="right"/>
    </xf>
    <xf numFmtId="0" fontId="65" fillId="0" borderId="4" xfId="0" applyFont="1" applyBorder="1"/>
    <xf numFmtId="0" fontId="66" fillId="0" borderId="4" xfId="0" applyFont="1" applyBorder="1"/>
    <xf numFmtId="0" fontId="65" fillId="0" borderId="0" xfId="0" applyFont="1"/>
    <xf numFmtId="0" fontId="67" fillId="0" borderId="4" xfId="0" applyFont="1" applyBorder="1"/>
    <xf numFmtId="49" fontId="68" fillId="0" borderId="4" xfId="0" applyNumberFormat="1" applyFont="1" applyBorder="1" applyAlignment="1">
      <alignment horizontal="left" vertical="center" readingOrder="1"/>
    </xf>
    <xf numFmtId="0" fontId="69" fillId="0" borderId="4" xfId="0" applyFont="1" applyBorder="1"/>
    <xf numFmtId="0" fontId="70" fillId="0" borderId="4" xfId="0" applyFont="1" applyBorder="1"/>
    <xf numFmtId="0" fontId="10" fillId="0" borderId="0" xfId="0" applyFont="1"/>
    <xf numFmtId="0" fontId="71" fillId="0" borderId="0" xfId="0" applyFont="1"/>
    <xf numFmtId="0" fontId="72" fillId="0" borderId="4" xfId="0" applyFont="1" applyBorder="1" applyAlignment="1">
      <alignment wrapText="1"/>
    </xf>
    <xf numFmtId="0" fontId="72" fillId="0" borderId="4" xfId="0" applyFont="1" applyBorder="1"/>
    <xf numFmtId="0" fontId="73" fillId="0" borderId="4" xfId="0" applyFont="1" applyBorder="1"/>
    <xf numFmtId="0" fontId="74" fillId="0" borderId="4" xfId="0" applyFont="1" applyBorder="1"/>
    <xf numFmtId="0" fontId="75" fillId="0" borderId="4" xfId="0" applyFont="1" applyBorder="1"/>
    <xf numFmtId="0" fontId="76" fillId="0" borderId="4" xfId="0" applyFont="1" applyBorder="1"/>
    <xf numFmtId="0" fontId="51" fillId="0" borderId="0" xfId="0" applyFont="1"/>
    <xf numFmtId="0" fontId="11" fillId="0" borderId="4" xfId="0" applyFont="1" applyBorder="1"/>
    <xf numFmtId="0" fontId="77" fillId="0" borderId="4" xfId="0" applyFont="1" applyBorder="1"/>
    <xf numFmtId="0" fontId="78" fillId="0" borderId="4" xfId="0" applyFont="1" applyBorder="1"/>
    <xf numFmtId="0" fontId="79" fillId="0" borderId="4" xfId="0" applyFont="1" applyBorder="1"/>
    <xf numFmtId="0" fontId="4" fillId="5" borderId="18" xfId="0" applyFont="1" applyFill="1" applyBorder="1" applyAlignment="1">
      <alignment horizontal="right"/>
    </xf>
    <xf numFmtId="0" fontId="80" fillId="5" borderId="4" xfId="0" applyFont="1" applyFill="1" applyBorder="1"/>
    <xf numFmtId="0" fontId="4" fillId="5" borderId="0" xfId="0" applyFont="1" applyFill="1" applyAlignment="1">
      <alignment horizontal="right"/>
    </xf>
    <xf numFmtId="0" fontId="81" fillId="0" borderId="4" xfId="0" applyFont="1" applyBorder="1" applyAlignment="1">
      <alignment wrapText="1"/>
    </xf>
    <xf numFmtId="0" fontId="82" fillId="0" borderId="4" xfId="0" applyFont="1" applyBorder="1"/>
    <xf numFmtId="0" fontId="83" fillId="0" borderId="4" xfId="0" applyFont="1" applyBorder="1"/>
    <xf numFmtId="0" fontId="82" fillId="0" borderId="0" xfId="0" applyFont="1"/>
    <xf numFmtId="0" fontId="68" fillId="0" borderId="0" xfId="0" applyFont="1" applyAlignment="1">
      <alignment wrapText="1"/>
    </xf>
    <xf numFmtId="49" fontId="68" fillId="0" borderId="4" xfId="0" applyNumberFormat="1" applyFont="1" applyBorder="1" applyAlignment="1">
      <alignment horizontal="left" vertical="center"/>
    </xf>
    <xf numFmtId="0" fontId="84" fillId="0" borderId="0" xfId="0" applyFont="1" applyAlignment="1">
      <alignment wrapText="1"/>
    </xf>
    <xf numFmtId="0" fontId="84" fillId="0" borderId="0" xfId="0" applyFont="1" applyAlignment="1">
      <alignment horizontal="right"/>
    </xf>
    <xf numFmtId="0" fontId="51" fillId="0" borderId="0" xfId="0" applyFont="1" applyAlignment="1">
      <alignment horizontal="right"/>
    </xf>
    <xf numFmtId="49" fontId="85" fillId="0" borderId="4" xfId="0" applyNumberFormat="1" applyFont="1" applyBorder="1"/>
    <xf numFmtId="0" fontId="86" fillId="0" borderId="4" xfId="0" applyFont="1" applyBorder="1" applyAlignment="1">
      <alignment horizontal="right"/>
    </xf>
    <xf numFmtId="0" fontId="86" fillId="0" borderId="4" xfId="0" applyFont="1" applyBorder="1"/>
    <xf numFmtId="0" fontId="86" fillId="5" borderId="4" xfId="0" applyFont="1" applyFill="1" applyBorder="1"/>
    <xf numFmtId="0" fontId="86" fillId="6" borderId="4" xfId="0" applyFont="1" applyFill="1" applyBorder="1"/>
    <xf numFmtId="0" fontId="86" fillId="7" borderId="4" xfId="0" applyFont="1" applyFill="1" applyBorder="1"/>
    <xf numFmtId="0" fontId="84" fillId="0" borderId="4" xfId="0" applyFont="1" applyBorder="1" applyAlignment="1">
      <alignment wrapText="1"/>
    </xf>
    <xf numFmtId="0" fontId="87" fillId="0" borderId="4" xfId="0" applyFont="1" applyBorder="1" applyAlignment="1">
      <alignment wrapText="1"/>
    </xf>
    <xf numFmtId="0" fontId="88" fillId="0" borderId="4" xfId="0" applyFont="1" applyBorder="1"/>
    <xf numFmtId="0" fontId="86" fillId="8" borderId="4" xfId="0" applyFont="1" applyFill="1" applyBorder="1" applyAlignment="1">
      <alignment horizontal="right"/>
    </xf>
    <xf numFmtId="0" fontId="86" fillId="9" borderId="4" xfId="0" applyFont="1" applyFill="1" applyBorder="1" applyAlignment="1">
      <alignment horizontal="right"/>
    </xf>
    <xf numFmtId="0" fontId="89" fillId="0" borderId="18" xfId="0" applyFont="1" applyBorder="1" applyAlignment="1">
      <alignment horizontal="right"/>
    </xf>
    <xf numFmtId="0" fontId="90" fillId="0" borderId="4" xfId="0" applyFont="1" applyBorder="1" applyAlignment="1">
      <alignment wrapText="1"/>
    </xf>
    <xf numFmtId="0" fontId="91" fillId="0" borderId="4" xfId="0" applyFont="1" applyBorder="1" applyAlignment="1">
      <alignment horizontal="right"/>
    </xf>
    <xf numFmtId="0" fontId="92" fillId="0" borderId="4" xfId="0" applyFont="1" applyBorder="1" applyAlignment="1">
      <alignment horizontal="right"/>
    </xf>
    <xf numFmtId="0" fontId="50" fillId="0" borderId="0" xfId="0" applyFont="1"/>
    <xf numFmtId="0" fontId="84" fillId="0" borderId="18" xfId="0" applyFont="1" applyBorder="1" applyAlignment="1">
      <alignment wrapText="1"/>
    </xf>
    <xf numFmtId="0" fontId="93" fillId="0" borderId="18" xfId="0" applyFont="1" applyBorder="1" applyAlignment="1">
      <alignment horizontal="right"/>
    </xf>
    <xf numFmtId="49" fontId="94" fillId="0" borderId="4" xfId="0" applyNumberFormat="1" applyFont="1" applyBorder="1"/>
    <xf numFmtId="0" fontId="95" fillId="0" borderId="4" xfId="0" applyFont="1" applyBorder="1" applyAlignment="1">
      <alignment horizontal="right"/>
    </xf>
    <xf numFmtId="0" fontId="94" fillId="0" borderId="4" xfId="0" applyFont="1" applyBorder="1"/>
    <xf numFmtId="0" fontId="96" fillId="0" borderId="38" xfId="0" applyFont="1" applyBorder="1"/>
    <xf numFmtId="0" fontId="97" fillId="0" borderId="4" xfId="0" applyFont="1" applyBorder="1"/>
    <xf numFmtId="0" fontId="98" fillId="0" borderId="4" xfId="0" applyFont="1" applyBorder="1"/>
    <xf numFmtId="0" fontId="46" fillId="0" borderId="39" xfId="0" applyFont="1" applyBorder="1"/>
    <xf numFmtId="0" fontId="97" fillId="0" borderId="4" xfId="0" applyFont="1" applyBorder="1" applyAlignment="1">
      <alignment horizontal="right"/>
    </xf>
    <xf numFmtId="0" fontId="98" fillId="0" borderId="4" xfId="0" applyFont="1" applyBorder="1" applyAlignment="1">
      <alignment horizontal="right"/>
    </xf>
    <xf numFmtId="0" fontId="12" fillId="0" borderId="4" xfId="0" applyFont="1" applyBorder="1" applyAlignment="1">
      <alignment horizontal="right"/>
    </xf>
    <xf numFmtId="0" fontId="46" fillId="0" borderId="39" xfId="0" applyFont="1" applyBorder="1" applyAlignment="1">
      <alignment horizontal="right"/>
    </xf>
    <xf numFmtId="0" fontId="99" fillId="0" borderId="4" xfId="0" applyFont="1" applyBorder="1"/>
    <xf numFmtId="0" fontId="100" fillId="0" borderId="4" xfId="0" applyFont="1" applyBorder="1" applyAlignment="1">
      <alignment horizontal="right"/>
    </xf>
    <xf numFmtId="0" fontId="101" fillId="0" borderId="4" xfId="0" applyFont="1" applyBorder="1"/>
    <xf numFmtId="0" fontId="101" fillId="0" borderId="4" xfId="0" applyFont="1" applyBorder="1" applyAlignment="1">
      <alignment horizontal="right"/>
    </xf>
    <xf numFmtId="0" fontId="102" fillId="0" borderId="39" xfId="0" applyFont="1" applyBorder="1" applyAlignment="1">
      <alignment horizontal="right"/>
    </xf>
    <xf numFmtId="0" fontId="12" fillId="3" borderId="4" xfId="0" applyFont="1" applyFill="1" applyBorder="1" applyAlignment="1">
      <alignment horizontal="right" vertical="top"/>
    </xf>
    <xf numFmtId="0" fontId="98" fillId="3" borderId="4" xfId="0" applyFont="1" applyFill="1" applyBorder="1" applyAlignment="1">
      <alignment horizontal="right"/>
    </xf>
    <xf numFmtId="0" fontId="16" fillId="0" borderId="4" xfId="0" applyFont="1" applyBorder="1"/>
    <xf numFmtId="0" fontId="16" fillId="0" borderId="4" xfId="0" applyFont="1" applyBorder="1" applyAlignment="1">
      <alignment horizontal="right"/>
    </xf>
    <xf numFmtId="0" fontId="103" fillId="0" borderId="39" xfId="0" applyFont="1" applyBorder="1" applyAlignment="1">
      <alignment horizontal="right"/>
    </xf>
    <xf numFmtId="0" fontId="104" fillId="0" borderId="4" xfId="0" applyFont="1" applyBorder="1"/>
    <xf numFmtId="0" fontId="105" fillId="0" borderId="4" xfId="0" applyFont="1" applyBorder="1"/>
    <xf numFmtId="0" fontId="104" fillId="0" borderId="4" xfId="0" applyFont="1" applyBorder="1" applyAlignment="1">
      <alignment horizontal="right"/>
    </xf>
    <xf numFmtId="0" fontId="106" fillId="0" borderId="39" xfId="0" applyFont="1" applyBorder="1" applyAlignment="1">
      <alignment horizontal="right"/>
    </xf>
    <xf numFmtId="0" fontId="46" fillId="0" borderId="0" xfId="0" applyFont="1"/>
    <xf numFmtId="49" fontId="46" fillId="0" borderId="0" xfId="0" applyNumberFormat="1" applyFont="1"/>
    <xf numFmtId="0" fontId="96" fillId="0" borderId="4" xfId="0" applyFont="1" applyBorder="1"/>
    <xf numFmtId="0" fontId="107" fillId="0" borderId="4" xfId="0" applyFont="1" applyBorder="1" applyAlignment="1">
      <alignment horizontal="right"/>
    </xf>
    <xf numFmtId="0" fontId="108" fillId="0" borderId="4" xfId="0" applyFont="1" applyBorder="1" applyAlignment="1">
      <alignment horizontal="right"/>
    </xf>
    <xf numFmtId="0" fontId="86" fillId="10" borderId="4" xfId="0" applyFont="1" applyFill="1" applyBorder="1"/>
    <xf numFmtId="0" fontId="86" fillId="0" borderId="0" xfId="0" applyFont="1"/>
    <xf numFmtId="0" fontId="86" fillId="0" borderId="0" xfId="0" applyFont="1" applyAlignment="1">
      <alignment horizontal="right"/>
    </xf>
    <xf numFmtId="3" fontId="86" fillId="0" borderId="4" xfId="0" applyNumberFormat="1" applyFont="1" applyBorder="1" applyAlignment="1">
      <alignment horizontal="right"/>
    </xf>
    <xf numFmtId="0" fontId="109" fillId="0" borderId="18" xfId="0" applyFont="1" applyBorder="1" applyAlignment="1">
      <alignment horizontal="right"/>
    </xf>
    <xf numFmtId="0" fontId="91" fillId="0" borderId="0" xfId="0" applyFont="1"/>
    <xf numFmtId="0" fontId="6" fillId="0" borderId="4" xfId="0" applyFont="1" applyBorder="1"/>
    <xf numFmtId="3" fontId="98" fillId="0" borderId="4" xfId="0" applyNumberFormat="1" applyFont="1" applyBorder="1"/>
    <xf numFmtId="0" fontId="110" fillId="0" borderId="4" xfId="0" applyFont="1" applyBorder="1"/>
    <xf numFmtId="0" fontId="111" fillId="0" borderId="4" xfId="0" applyFont="1" applyBorder="1"/>
    <xf numFmtId="0" fontId="111" fillId="0" borderId="0" xfId="0" applyFont="1"/>
    <xf numFmtId="3" fontId="104" fillId="0" borderId="4" xfId="0" applyNumberFormat="1" applyFont="1" applyBorder="1"/>
    <xf numFmtId="0" fontId="112" fillId="0" borderId="0" xfId="0" applyFont="1"/>
    <xf numFmtId="0" fontId="113" fillId="0" borderId="4" xfId="0" applyFont="1" applyBorder="1"/>
    <xf numFmtId="0" fontId="113" fillId="0" borderId="0" xfId="0" applyFont="1"/>
    <xf numFmtId="0" fontId="112" fillId="0" borderId="4" xfId="0" applyFont="1" applyBorder="1"/>
    <xf numFmtId="0" fontId="51" fillId="0" borderId="18" xfId="0" applyFont="1" applyBorder="1"/>
    <xf numFmtId="0" fontId="114" fillId="0" borderId="18" xfId="0" applyFont="1" applyBorder="1" applyAlignment="1">
      <alignment vertical="top" wrapText="1"/>
    </xf>
    <xf numFmtId="0" fontId="69" fillId="0" borderId="18" xfId="0" applyFont="1" applyBorder="1"/>
    <xf numFmtId="0" fontId="76" fillId="5" borderId="18" xfId="0" applyFont="1" applyFill="1" applyBorder="1"/>
    <xf numFmtId="169" fontId="51" fillId="0" borderId="18" xfId="0" applyNumberFormat="1" applyFont="1" applyBorder="1"/>
    <xf numFmtId="0" fontId="57" fillId="0" borderId="18" xfId="0" applyFont="1" applyBorder="1"/>
    <xf numFmtId="0" fontId="46" fillId="0" borderId="18" xfId="0" applyFont="1" applyBorder="1"/>
    <xf numFmtId="0" fontId="38" fillId="0" borderId="18" xfId="0" applyFont="1" applyBorder="1"/>
    <xf numFmtId="0" fontId="72" fillId="0" borderId="18" xfId="0" applyFont="1" applyBorder="1"/>
    <xf numFmtId="0" fontId="72" fillId="5" borderId="18" xfId="0" applyFont="1" applyFill="1" applyBorder="1"/>
    <xf numFmtId="0" fontId="5" fillId="0" borderId="18" xfId="0" applyFont="1" applyBorder="1"/>
    <xf numFmtId="0" fontId="115" fillId="0" borderId="18" xfId="0" applyFont="1" applyBorder="1"/>
    <xf numFmtId="0" fontId="116" fillId="0" borderId="18" xfId="0" applyFont="1" applyBorder="1"/>
    <xf numFmtId="0" fontId="38" fillId="5" borderId="18" xfId="0" applyFont="1" applyFill="1" applyBorder="1"/>
    <xf numFmtId="0" fontId="76" fillId="0" borderId="18" xfId="0" applyFont="1" applyBorder="1"/>
    <xf numFmtId="0" fontId="117" fillId="5" borderId="18" xfId="0" applyFont="1" applyFill="1" applyBorder="1"/>
    <xf numFmtId="0" fontId="118" fillId="0" borderId="18" xfId="0" applyFont="1" applyBorder="1"/>
    <xf numFmtId="0" fontId="103" fillId="0" borderId="18" xfId="0" applyFont="1" applyBorder="1"/>
    <xf numFmtId="0" fontId="119" fillId="5" borderId="18" xfId="0" applyFont="1" applyFill="1" applyBorder="1"/>
    <xf numFmtId="0" fontId="120" fillId="0" borderId="18" xfId="0" applyFont="1" applyBorder="1"/>
    <xf numFmtId="0" fontId="106" fillId="0" borderId="18" xfId="0" applyFont="1" applyBorder="1"/>
    <xf numFmtId="0" fontId="26" fillId="0" borderId="0" xfId="0" applyFont="1"/>
    <xf numFmtId="0" fontId="121" fillId="0" borderId="0" xfId="0" applyFont="1"/>
    <xf numFmtId="0" fontId="121" fillId="0" borderId="18" xfId="0" applyFont="1" applyBorder="1"/>
    <xf numFmtId="0" fontId="26" fillId="0" borderId="18" xfId="0" applyFont="1" applyBorder="1"/>
    <xf numFmtId="0" fontId="122" fillId="0" borderId="40" xfId="0" applyFont="1" applyBorder="1"/>
    <xf numFmtId="0" fontId="123" fillId="0" borderId="40" xfId="0" applyFont="1" applyBorder="1"/>
    <xf numFmtId="0" fontId="124" fillId="0" borderId="18" xfId="0" applyFont="1" applyBorder="1"/>
    <xf numFmtId="0" fontId="125" fillId="0" borderId="40" xfId="0" applyFont="1" applyBorder="1"/>
    <xf numFmtId="0" fontId="126" fillId="0" borderId="40" xfId="0" applyFont="1" applyBorder="1"/>
    <xf numFmtId="0" fontId="106" fillId="0" borderId="40" xfId="0" applyFont="1" applyBorder="1"/>
    <xf numFmtId="0" fontId="51" fillId="11" borderId="18" xfId="0" applyFont="1" applyFill="1" applyBorder="1"/>
    <xf numFmtId="0" fontId="11" fillId="11" borderId="0" xfId="0" applyFont="1" applyFill="1"/>
    <xf numFmtId="0" fontId="51" fillId="12" borderId="0" xfId="0" applyFont="1" applyFill="1"/>
    <xf numFmtId="0" fontId="38" fillId="0" borderId="0" xfId="0" applyFont="1"/>
    <xf numFmtId="170" fontId="51" fillId="0" borderId="18" xfId="0" applyNumberFormat="1" applyFont="1" applyBorder="1"/>
    <xf numFmtId="0" fontId="11" fillId="0" borderId="18" xfId="0" applyFont="1" applyBorder="1"/>
    <xf numFmtId="0" fontId="127" fillId="0" borderId="18" xfId="0" applyFont="1" applyBorder="1"/>
    <xf numFmtId="0" fontId="4" fillId="3" borderId="18" xfId="0" applyFont="1" applyFill="1" applyBorder="1" applyAlignment="1">
      <alignment horizontal="center"/>
    </xf>
    <xf numFmtId="0" fontId="46" fillId="0" borderId="41" xfId="0" applyFont="1" applyBorder="1"/>
    <xf numFmtId="0" fontId="89" fillId="0" borderId="18" xfId="0" applyFont="1" applyBorder="1"/>
    <xf numFmtId="0" fontId="3" fillId="2" borderId="18" xfId="0" applyFont="1" applyFill="1" applyBorder="1" applyAlignment="1">
      <alignment horizontal="center"/>
    </xf>
    <xf numFmtId="0" fontId="46" fillId="0" borderId="18" xfId="0" applyFont="1" applyBorder="1" applyAlignment="1">
      <alignment horizontal="right"/>
    </xf>
    <xf numFmtId="0" fontId="46" fillId="0" borderId="42" xfId="0" applyFont="1" applyBorder="1" applyAlignment="1">
      <alignment horizontal="right"/>
    </xf>
    <xf numFmtId="0" fontId="128" fillId="2" borderId="18" xfId="0" applyFont="1" applyFill="1" applyBorder="1" applyAlignment="1">
      <alignment horizontal="center"/>
    </xf>
    <xf numFmtId="0" fontId="129" fillId="0" borderId="18" xfId="0" applyFont="1" applyBorder="1" applyAlignment="1">
      <alignment horizontal="right"/>
    </xf>
    <xf numFmtId="0" fontId="129" fillId="0" borderId="42" xfId="0" applyFont="1" applyBorder="1" applyAlignment="1">
      <alignment horizontal="right"/>
    </xf>
    <xf numFmtId="0" fontId="46" fillId="0" borderId="42" xfId="0" applyFont="1" applyBorder="1"/>
    <xf numFmtId="0" fontId="3" fillId="13" borderId="18" xfId="0" applyFont="1" applyFill="1" applyBorder="1" applyAlignment="1">
      <alignment horizontal="center"/>
    </xf>
    <xf numFmtId="0" fontId="46" fillId="13" borderId="18" xfId="0" applyFont="1" applyFill="1" applyBorder="1" applyAlignment="1">
      <alignment horizontal="right"/>
    </xf>
    <xf numFmtId="0" fontId="46" fillId="13" borderId="0" xfId="0" applyFont="1" applyFill="1" applyAlignment="1">
      <alignment horizontal="right"/>
    </xf>
    <xf numFmtId="0" fontId="17" fillId="0" borderId="18" xfId="0" applyFont="1" applyBorder="1" applyAlignment="1">
      <alignment horizontal="right"/>
    </xf>
    <xf numFmtId="0" fontId="46" fillId="0" borderId="41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4" fillId="0" borderId="18" xfId="0" applyFont="1" applyBorder="1" applyAlignment="1">
      <alignment horizontal="center"/>
    </xf>
    <xf numFmtId="0" fontId="103" fillId="0" borderId="18" xfId="0" applyFont="1" applyBorder="1" applyAlignment="1">
      <alignment horizontal="right"/>
    </xf>
    <xf numFmtId="0" fontId="103" fillId="0" borderId="0" xfId="0" applyFont="1"/>
    <xf numFmtId="0" fontId="17" fillId="3" borderId="18" xfId="0" applyFont="1" applyFill="1" applyBorder="1" applyAlignment="1">
      <alignment horizontal="right"/>
    </xf>
    <xf numFmtId="0" fontId="46" fillId="2" borderId="18" xfId="0" applyFont="1" applyFill="1" applyBorder="1" applyAlignment="1">
      <alignment horizontal="center"/>
    </xf>
    <xf numFmtId="0" fontId="103" fillId="2" borderId="18" xfId="0" applyFont="1" applyFill="1" applyBorder="1" applyAlignment="1">
      <alignment horizontal="center"/>
    </xf>
    <xf numFmtId="0" fontId="46" fillId="13" borderId="18" xfId="0" applyFont="1" applyFill="1" applyBorder="1" applyAlignment="1">
      <alignment horizontal="center"/>
    </xf>
    <xf numFmtId="0" fontId="46" fillId="3" borderId="18" xfId="0" applyFont="1" applyFill="1" applyBorder="1" applyAlignment="1">
      <alignment horizontal="right"/>
    </xf>
    <xf numFmtId="0" fontId="130" fillId="0" borderId="18" xfId="0" applyFont="1" applyBorder="1" applyAlignment="1">
      <alignment horizontal="left" vertical="top"/>
    </xf>
    <xf numFmtId="0" fontId="131" fillId="0" borderId="18" xfId="0" applyFont="1" applyBorder="1" applyAlignment="1">
      <alignment horizontal="right"/>
    </xf>
    <xf numFmtId="0" fontId="11" fillId="0" borderId="18" xfId="0" applyFont="1" applyBorder="1" applyAlignment="1">
      <alignment horizontal="right"/>
    </xf>
    <xf numFmtId="0" fontId="46" fillId="0" borderId="43" xfId="0" applyFont="1" applyBorder="1" applyAlignment="1">
      <alignment horizontal="right"/>
    </xf>
    <xf numFmtId="0" fontId="46" fillId="0" borderId="44" xfId="0" applyFont="1" applyBorder="1" applyAlignment="1">
      <alignment horizontal="left"/>
    </xf>
    <xf numFmtId="0" fontId="46" fillId="0" borderId="2" xfId="0" applyFont="1" applyBorder="1"/>
    <xf numFmtId="0" fontId="46" fillId="0" borderId="18" xfId="0" applyFont="1" applyBorder="1" applyAlignment="1">
      <alignment horizontal="left"/>
    </xf>
    <xf numFmtId="0" fontId="46" fillId="0" borderId="0" xfId="0" applyFont="1" applyAlignment="1">
      <alignment horizontal="right"/>
    </xf>
    <xf numFmtId="0" fontId="46" fillId="13" borderId="43" xfId="0" applyFont="1" applyFill="1" applyBorder="1" applyAlignment="1">
      <alignment horizontal="right"/>
    </xf>
    <xf numFmtId="0" fontId="50" fillId="0" borderId="18" xfId="0" applyFont="1" applyBorder="1"/>
    <xf numFmtId="0" fontId="132" fillId="0" borderId="18" xfId="0" applyFont="1" applyBorder="1"/>
    <xf numFmtId="0" fontId="131" fillId="0" borderId="43" xfId="0" applyFont="1" applyBorder="1" applyAlignment="1">
      <alignment horizontal="right"/>
    </xf>
    <xf numFmtId="0" fontId="131" fillId="0" borderId="45" xfId="0" applyFont="1" applyBorder="1" applyAlignment="1">
      <alignment horizontal="right"/>
    </xf>
    <xf numFmtId="0" fontId="50" fillId="2" borderId="18" xfId="0" applyFont="1" applyFill="1" applyBorder="1" applyAlignment="1">
      <alignment horizontal="left"/>
    </xf>
    <xf numFmtId="0" fontId="46" fillId="13" borderId="18" xfId="0" applyFont="1" applyFill="1" applyBorder="1"/>
    <xf numFmtId="0" fontId="46" fillId="0" borderId="46" xfId="0" applyFont="1" applyBorder="1"/>
    <xf numFmtId="0" fontId="131" fillId="0" borderId="42" xfId="0" applyFont="1" applyBorder="1" applyAlignment="1">
      <alignment horizontal="right"/>
    </xf>
    <xf numFmtId="0" fontId="131" fillId="13" borderId="42" xfId="0" applyFont="1" applyFill="1" applyBorder="1" applyAlignment="1">
      <alignment horizontal="right"/>
    </xf>
    <xf numFmtId="0" fontId="127" fillId="0" borderId="0" xfId="0" applyFont="1"/>
    <xf numFmtId="0" fontId="89" fillId="0" borderId="41" xfId="0" applyFont="1" applyBorder="1"/>
    <xf numFmtId="0" fontId="3" fillId="0" borderId="18" xfId="0" applyFont="1" applyBorder="1" applyAlignment="1">
      <alignment horizontal="right"/>
    </xf>
    <xf numFmtId="0" fontId="17" fillId="0" borderId="18" xfId="0" applyFont="1" applyBorder="1"/>
    <xf numFmtId="0" fontId="46" fillId="2" borderId="18" xfId="0" applyFont="1" applyFill="1" applyBorder="1" applyAlignment="1">
      <alignment horizontal="right"/>
    </xf>
    <xf numFmtId="0" fontId="3" fillId="0" borderId="18" xfId="0" applyFont="1" applyBorder="1" applyAlignment="1">
      <alignment horizontal="center"/>
    </xf>
    <xf numFmtId="17" fontId="4" fillId="0" borderId="0" xfId="0" applyNumberFormat="1" applyFont="1" applyAlignment="1">
      <alignment horizontal="right"/>
    </xf>
    <xf numFmtId="17" fontId="1" fillId="0" borderId="0" xfId="0" applyNumberFormat="1" applyFont="1" applyAlignment="1">
      <alignment horizontal="right"/>
    </xf>
    <xf numFmtId="171" fontId="4" fillId="0" borderId="0" xfId="0" applyNumberFormat="1" applyFont="1" applyAlignment="1">
      <alignment horizontal="right"/>
    </xf>
    <xf numFmtId="171" fontId="1" fillId="0" borderId="0" xfId="0" applyNumberFormat="1" applyFont="1" applyAlignment="1">
      <alignment horizontal="right"/>
    </xf>
    <xf numFmtId="171" fontId="0" fillId="0" borderId="0" xfId="0" applyNumberFormat="1"/>
    <xf numFmtId="0" fontId="4" fillId="0" borderId="0" xfId="0" applyFont="1" applyAlignment="1">
      <alignment horizontal="right" wrapText="1"/>
    </xf>
    <xf numFmtId="9" fontId="4" fillId="0" borderId="0" xfId="1" applyFont="1" applyAlignment="1">
      <alignment horizontal="right"/>
    </xf>
    <xf numFmtId="0" fontId="133" fillId="0" borderId="0" xfId="0" applyFont="1" applyAlignment="1">
      <alignment horizontal="right"/>
    </xf>
    <xf numFmtId="171" fontId="133" fillId="0" borderId="0" xfId="0" applyNumberFormat="1" applyFont="1" applyAlignment="1">
      <alignment horizontal="right"/>
    </xf>
    <xf numFmtId="9" fontId="133" fillId="0" borderId="0" xfId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000"/>
  <sheetViews>
    <sheetView workbookViewId="0">
      <pane xSplit="2" topLeftCell="W1" activePane="topRight" state="frozen"/>
      <selection pane="topRight" sqref="A1:Z18"/>
    </sheetView>
  </sheetViews>
  <sheetFormatPr defaultColWidth="12.6640625" defaultRowHeight="15" customHeight="1"/>
  <cols>
    <col min="1" max="1" width="30.77734375" customWidth="1"/>
    <col min="2" max="2" width="21.6640625" customWidth="1"/>
    <col min="3" max="3" width="13.44140625" customWidth="1"/>
    <col min="4" max="15" width="22.21875" customWidth="1"/>
    <col min="16" max="16" width="9.88671875" customWidth="1"/>
    <col min="17" max="17" width="22.21875" customWidth="1"/>
    <col min="18" max="18" width="21.109375" customWidth="1"/>
    <col min="20" max="20" width="39.33203125" customWidth="1"/>
    <col min="21" max="21" width="23.77734375" customWidth="1"/>
    <col min="22" max="22" width="26.6640625" customWidth="1"/>
    <col min="23" max="23" width="21.21875" customWidth="1"/>
    <col min="26" max="26" width="42.88671875" customWidth="1"/>
  </cols>
  <sheetData>
    <row r="1" spans="1:41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ht="16.5" customHeight="1">
      <c r="A2" s="4" t="s">
        <v>26</v>
      </c>
      <c r="B2" s="4" t="s">
        <v>27</v>
      </c>
      <c r="C2" s="5"/>
      <c r="D2" s="6">
        <v>42795</v>
      </c>
      <c r="E2" s="7">
        <v>280000</v>
      </c>
      <c r="F2" s="8">
        <v>43191</v>
      </c>
      <c r="G2" s="9">
        <v>470000</v>
      </c>
      <c r="H2" s="10">
        <v>43709</v>
      </c>
      <c r="I2" s="9">
        <v>740000</v>
      </c>
      <c r="J2" s="3" t="s">
        <v>28</v>
      </c>
      <c r="K2" s="9">
        <v>740000</v>
      </c>
      <c r="L2" s="8">
        <v>44287</v>
      </c>
      <c r="M2" s="9">
        <v>1036000</v>
      </c>
      <c r="N2" s="11">
        <v>44774</v>
      </c>
      <c r="O2" s="12">
        <v>1398600</v>
      </c>
      <c r="P2" s="13" t="s">
        <v>29</v>
      </c>
      <c r="Q2" s="13" t="s">
        <v>30</v>
      </c>
      <c r="R2" s="4" t="s">
        <v>28</v>
      </c>
      <c r="S2" s="13" t="s">
        <v>30</v>
      </c>
      <c r="T2" s="4" t="s">
        <v>31</v>
      </c>
      <c r="U2" s="4" t="s">
        <v>30</v>
      </c>
      <c r="V2" s="14">
        <v>46079</v>
      </c>
      <c r="W2" s="15" t="s">
        <v>32</v>
      </c>
      <c r="X2" s="16"/>
      <c r="Y2" s="16" t="s">
        <v>32</v>
      </c>
      <c r="Z2" s="17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15.6">
      <c r="A3" s="18" t="s">
        <v>33</v>
      </c>
      <c r="B3" s="4" t="s">
        <v>34</v>
      </c>
      <c r="C3" s="15">
        <v>1600000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>
        <v>1600000</v>
      </c>
      <c r="R3" s="4" t="s">
        <v>35</v>
      </c>
      <c r="S3" s="3">
        <v>1888000</v>
      </c>
      <c r="T3" s="19">
        <v>46198</v>
      </c>
      <c r="U3" s="17"/>
      <c r="V3" s="3"/>
      <c r="W3" s="2"/>
      <c r="X3" s="2"/>
      <c r="Y3" s="2">
        <v>1888000</v>
      </c>
      <c r="Z3" s="17" t="s">
        <v>36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ht="15.6">
      <c r="A4" s="18" t="s">
        <v>37</v>
      </c>
      <c r="B4" s="4" t="s">
        <v>38</v>
      </c>
      <c r="C4" s="15">
        <v>1600000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 t="s">
        <v>28</v>
      </c>
      <c r="S4" s="17"/>
      <c r="T4" s="17" t="s">
        <v>31</v>
      </c>
      <c r="U4" s="17"/>
      <c r="V4" s="3"/>
      <c r="W4" s="2"/>
      <c r="X4" s="2"/>
      <c r="Y4" s="2">
        <v>1600000</v>
      </c>
      <c r="Z4" s="17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ht="15.6">
      <c r="A5" s="18" t="s">
        <v>39</v>
      </c>
      <c r="B5" s="4" t="s">
        <v>40</v>
      </c>
      <c r="C5" s="15">
        <v>1050000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 t="s">
        <v>28</v>
      </c>
      <c r="S5" s="15">
        <v>1312500</v>
      </c>
      <c r="T5" s="19">
        <v>46198</v>
      </c>
      <c r="U5" s="17"/>
      <c r="V5" s="3"/>
      <c r="W5" s="16"/>
      <c r="X5" s="16"/>
      <c r="Y5" s="16">
        <v>1312500</v>
      </c>
      <c r="Z5" s="17" t="s">
        <v>36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ht="15.6">
      <c r="A6" s="18" t="s">
        <v>41</v>
      </c>
      <c r="B6" s="4" t="s">
        <v>42</v>
      </c>
      <c r="C6" s="15">
        <v>550000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550000</v>
      </c>
      <c r="R6" s="4" t="s">
        <v>43</v>
      </c>
      <c r="S6" s="3">
        <v>800000</v>
      </c>
      <c r="T6" s="19">
        <v>46198</v>
      </c>
      <c r="U6" s="17"/>
      <c r="V6" s="3"/>
      <c r="W6" s="2"/>
      <c r="X6" s="2"/>
      <c r="Y6" s="2">
        <v>900000</v>
      </c>
      <c r="Z6" s="17" t="s">
        <v>36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ht="15.6">
      <c r="A7" s="18" t="s">
        <v>44</v>
      </c>
      <c r="B7" s="20">
        <v>45078</v>
      </c>
      <c r="C7" s="15">
        <v>500000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650000</v>
      </c>
      <c r="R7" s="4" t="s">
        <v>43</v>
      </c>
      <c r="S7" s="3">
        <v>750000</v>
      </c>
      <c r="T7" s="19">
        <v>46198</v>
      </c>
      <c r="U7" s="17"/>
      <c r="V7" s="3"/>
      <c r="W7" s="2"/>
      <c r="X7" s="2"/>
      <c r="Y7" s="2">
        <v>750000</v>
      </c>
      <c r="Z7" s="17" t="s">
        <v>36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ht="15.6">
      <c r="A8" s="18" t="s">
        <v>45</v>
      </c>
      <c r="B8" s="20">
        <v>45078</v>
      </c>
      <c r="C8" s="15">
        <v>500000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650000</v>
      </c>
      <c r="R8" s="4" t="s">
        <v>43</v>
      </c>
      <c r="S8" s="3">
        <v>750000</v>
      </c>
      <c r="T8" s="19">
        <v>46198</v>
      </c>
      <c r="U8" s="17"/>
      <c r="V8" s="3"/>
      <c r="W8" s="2"/>
      <c r="X8" s="2"/>
      <c r="Y8" s="2">
        <v>750000</v>
      </c>
      <c r="Z8" s="17" t="s">
        <v>36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15.6">
      <c r="A9" s="18" t="s">
        <v>46</v>
      </c>
      <c r="B9" s="4" t="s">
        <v>47</v>
      </c>
      <c r="C9" s="15">
        <v>750000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 t="s">
        <v>28</v>
      </c>
      <c r="S9" s="17"/>
      <c r="T9" s="17"/>
      <c r="U9" s="15">
        <v>750000</v>
      </c>
      <c r="V9" s="14">
        <v>46079</v>
      </c>
      <c r="W9" s="15" t="s">
        <v>48</v>
      </c>
      <c r="X9" s="2"/>
      <c r="Y9" s="16">
        <v>900000</v>
      </c>
      <c r="Z9" s="17" t="s">
        <v>49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ht="15.6">
      <c r="A10" s="18" t="s">
        <v>50</v>
      </c>
      <c r="B10" s="4" t="s">
        <v>47</v>
      </c>
      <c r="C10" s="15">
        <v>750000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 t="s">
        <v>28</v>
      </c>
      <c r="S10" s="17"/>
      <c r="T10" s="17"/>
      <c r="U10" s="15">
        <v>750000</v>
      </c>
      <c r="V10" s="14">
        <v>46079</v>
      </c>
      <c r="W10" s="15" t="s">
        <v>48</v>
      </c>
      <c r="X10" s="2"/>
      <c r="Y10" s="16">
        <v>900000</v>
      </c>
      <c r="Z10" s="17" t="s">
        <v>49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ht="15.6">
      <c r="A11" s="18" t="s">
        <v>51</v>
      </c>
      <c r="B11" s="4" t="s">
        <v>52</v>
      </c>
      <c r="C11" s="15">
        <v>750000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 t="s">
        <v>28</v>
      </c>
      <c r="S11" s="17"/>
      <c r="T11" s="17"/>
      <c r="U11" s="15">
        <v>750000</v>
      </c>
      <c r="V11" s="14">
        <v>46079</v>
      </c>
      <c r="W11" s="15" t="s">
        <v>48</v>
      </c>
      <c r="X11" s="2"/>
      <c r="Y11" s="16">
        <v>900000</v>
      </c>
      <c r="Z11" s="17" t="s">
        <v>53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ht="15.6">
      <c r="A12" s="18" t="s">
        <v>54</v>
      </c>
      <c r="B12" s="21">
        <v>45551</v>
      </c>
      <c r="C12" s="15">
        <v>1600000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 t="s">
        <v>28</v>
      </c>
      <c r="S12" s="17"/>
      <c r="T12" s="17"/>
      <c r="U12" s="15">
        <v>1600000</v>
      </c>
      <c r="V12" s="14">
        <v>46079</v>
      </c>
      <c r="W12" s="15" t="s">
        <v>55</v>
      </c>
      <c r="X12" s="2"/>
      <c r="Y12" s="16" t="s">
        <v>55</v>
      </c>
      <c r="Z12" s="17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15.6">
      <c r="A13" s="22" t="s">
        <v>56</v>
      </c>
      <c r="B13" s="21">
        <v>45796</v>
      </c>
      <c r="C13" s="15">
        <v>800000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 t="s">
        <v>28</v>
      </c>
      <c r="S13" s="17"/>
      <c r="T13" s="17" t="s">
        <v>28</v>
      </c>
      <c r="U13" s="17"/>
      <c r="V13" s="3"/>
      <c r="W13" s="2"/>
      <c r="X13" s="2"/>
      <c r="Y13" s="2">
        <v>800000</v>
      </c>
      <c r="Z13" s="17" t="s">
        <v>57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15.6">
      <c r="A14" s="22" t="s">
        <v>58</v>
      </c>
      <c r="B14" s="20">
        <v>45814</v>
      </c>
      <c r="C14" s="15">
        <v>800000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 t="s">
        <v>28</v>
      </c>
      <c r="S14" s="17"/>
      <c r="T14" s="17" t="s">
        <v>28</v>
      </c>
      <c r="U14" s="17"/>
      <c r="V14" s="3"/>
      <c r="W14" s="2"/>
      <c r="X14" s="2"/>
      <c r="Y14" s="2">
        <v>800000</v>
      </c>
      <c r="Z14" s="17" t="s">
        <v>57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15.6">
      <c r="A15" s="22" t="s">
        <v>59</v>
      </c>
      <c r="B15" s="20">
        <v>45809</v>
      </c>
      <c r="C15" s="15">
        <v>350000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 t="s">
        <v>28</v>
      </c>
      <c r="S15" s="17"/>
      <c r="T15" s="17" t="s">
        <v>28</v>
      </c>
      <c r="U15" s="17"/>
      <c r="V15" s="3"/>
      <c r="W15" s="2"/>
      <c r="X15" s="2"/>
      <c r="Y15" s="2">
        <v>350000</v>
      </c>
      <c r="Z15" s="17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15.6">
      <c r="A16" s="18" t="s">
        <v>60</v>
      </c>
      <c r="B16" s="21">
        <v>45820</v>
      </c>
      <c r="C16" s="15">
        <v>400000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 t="s">
        <v>28</v>
      </c>
      <c r="S16" s="17"/>
      <c r="T16" s="17" t="s">
        <v>28</v>
      </c>
      <c r="U16" s="17"/>
      <c r="V16" s="3"/>
      <c r="W16" s="2"/>
      <c r="X16" s="2"/>
      <c r="Y16" s="2">
        <v>400000</v>
      </c>
      <c r="Z16" s="17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ht="15.6">
      <c r="A17" s="18" t="s">
        <v>61</v>
      </c>
      <c r="B17" s="21">
        <v>45880</v>
      </c>
      <c r="C17" s="15">
        <v>700000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 t="s">
        <v>28</v>
      </c>
      <c r="S17" s="17"/>
      <c r="T17" s="17" t="s">
        <v>28</v>
      </c>
      <c r="U17" s="17"/>
      <c r="V17" s="14"/>
      <c r="W17" s="2"/>
      <c r="X17" s="2"/>
      <c r="Y17" s="2">
        <v>700000</v>
      </c>
      <c r="Z17" s="17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ht="15.6">
      <c r="A18" s="17" t="s">
        <v>62</v>
      </c>
      <c r="B18" s="21">
        <v>45642</v>
      </c>
      <c r="C18" s="15">
        <v>350000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 t="s">
        <v>28</v>
      </c>
      <c r="S18" s="17"/>
      <c r="T18" s="17" t="s">
        <v>28</v>
      </c>
      <c r="U18" s="15">
        <v>350000</v>
      </c>
      <c r="V18" s="14">
        <v>46079</v>
      </c>
      <c r="W18" s="15" t="s">
        <v>63</v>
      </c>
      <c r="X18" s="2"/>
      <c r="Y18" s="16" t="s">
        <v>63</v>
      </c>
      <c r="Z18" s="17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ht="15.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17"/>
      <c r="S19" s="3"/>
      <c r="T19" s="3"/>
      <c r="U19" s="17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ht="15.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17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ht="15.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17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ht="15.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17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ht="15.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17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ht="15.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17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ht="15.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17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ht="15.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17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ht="15.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17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ht="15.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17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ht="15.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17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ht="15.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17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ht="15.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17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ht="15.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17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ht="15.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17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ht="15.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17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ht="15.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17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ht="15.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17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ht="15.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17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ht="15.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17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ht="15.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17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ht="15.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17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ht="15.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17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ht="15.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17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ht="15.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17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ht="15.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17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ht="15.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17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ht="15.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17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ht="15.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17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ht="15.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17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ht="15.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17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ht="15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17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ht="15.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17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ht="15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17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ht="15.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17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ht="15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17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ht="15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17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ht="15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17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ht="15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17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ht="15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17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ht="15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17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ht="15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17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ht="15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17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ht="15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17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ht="15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17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ht="15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17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ht="15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17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ht="15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17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ht="15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17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ht="15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17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ht="15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17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ht="15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17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ht="15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17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ht="15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17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ht="15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17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ht="15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17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ht="15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17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ht="15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17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ht="15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17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ht="15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17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ht="15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17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ht="15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17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ht="15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17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ht="15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17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ht="15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17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ht="15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17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ht="15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17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ht="15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17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ht="15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17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ht="15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17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ht="15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17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ht="15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17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ht="15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17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ht="15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17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ht="15.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17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ht="15.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17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ht="15.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17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ht="15.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17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ht="15.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17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ht="15.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17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ht="15.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17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ht="15.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17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ht="15.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17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ht="15.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17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ht="15.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17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ht="15.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17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ht="15.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17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ht="15.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17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ht="15.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17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ht="15.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17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ht="15.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17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ht="15.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17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ht="15.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17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ht="15.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17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ht="15.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17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ht="15.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17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ht="15.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17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ht="15.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17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ht="15.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17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ht="15.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17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ht="15.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17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ht="15.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17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ht="15.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17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ht="15.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17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ht="15.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17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ht="15.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17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ht="15.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17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ht="15.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17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ht="15.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17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ht="15.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17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ht="15.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17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ht="15.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17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ht="15.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17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ht="15.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17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ht="15.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17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ht="15.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17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ht="15.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17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ht="15.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17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ht="15.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17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ht="15.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17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ht="15.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17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ht="15.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17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ht="15.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17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ht="15.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17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ht="15.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17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ht="15.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17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ht="15.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17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ht="15.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17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ht="15.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17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ht="15.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17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ht="15.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17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ht="15.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17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ht="15.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17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ht="15.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17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ht="15.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17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ht="15.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17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ht="15.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17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ht="15.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17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ht="15.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17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ht="15.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17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ht="15.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17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ht="15.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17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ht="15.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17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ht="15.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17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ht="15.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17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ht="15.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17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ht="15.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17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ht="15.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17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ht="15.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17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ht="15.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17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ht="15.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17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ht="15.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17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ht="15.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17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ht="15.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17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ht="15.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17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ht="15.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17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ht="15.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17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ht="15.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17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ht="15.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17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ht="15.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17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ht="15.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17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ht="15.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17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ht="15.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17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ht="15.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17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ht="15.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17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ht="15.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17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ht="15.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17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ht="15.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17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ht="15.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17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ht="15.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17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ht="15.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17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ht="15.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17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ht="15.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17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ht="15.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17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ht="15.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17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ht="15.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17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ht="15.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17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ht="15.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17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ht="15.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17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ht="15.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17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ht="15.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17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ht="15.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17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ht="15.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17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ht="15.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17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ht="15.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17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ht="15.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17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ht="15.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17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ht="15.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17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ht="15.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17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ht="15.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17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ht="15.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17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ht="15.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17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ht="15.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17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ht="15.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17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ht="15.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17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ht="15.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17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ht="15.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17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ht="15.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17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ht="15.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17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ht="15.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17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ht="15.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17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ht="15.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17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ht="15.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17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ht="15.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17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ht="15.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17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ht="15.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17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ht="15.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17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ht="15.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17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ht="15.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17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ht="15.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17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ht="15.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17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ht="15.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17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ht="15.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17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ht="15.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17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ht="15.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17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ht="15.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17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ht="15.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17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ht="15.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17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ht="15.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17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ht="15.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17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ht="15.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17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ht="15.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17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ht="15.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17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ht="15.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17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ht="15.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17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ht="15.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17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ht="15.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17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ht="15.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17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ht="15.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17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ht="15.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17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ht="15.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17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ht="15.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17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ht="15.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17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ht="15.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17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ht="15.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17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ht="15.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17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ht="15.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17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ht="15.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17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ht="15.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17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ht="15.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17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ht="15.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17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ht="15.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17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ht="15.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17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ht="15.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17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ht="15.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17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ht="15.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17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ht="15.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17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ht="15.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17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ht="15.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17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ht="15.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17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ht="15.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17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ht="15.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17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ht="15.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17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ht="15.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17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ht="15.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17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ht="15.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17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ht="15.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17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ht="15.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17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ht="15.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17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ht="15.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17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ht="15.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17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ht="15.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17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ht="15.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17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ht="15.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17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ht="15.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17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ht="15.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17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ht="15.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17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ht="15.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17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ht="15.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17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ht="15.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17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ht="15.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17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 ht="15.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17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 ht="15.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17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 ht="15.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17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 ht="15.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17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 ht="15.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17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 ht="15.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17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 ht="15.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17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 ht="15.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17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 ht="15.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17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 ht="15.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17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 ht="15.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17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 ht="15.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17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 ht="15.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17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 ht="15.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17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 ht="15.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17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 ht="15.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17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 ht="15.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17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 ht="15.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17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 ht="15.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17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 ht="15.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17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 ht="15.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17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 ht="15.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17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 ht="15.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17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 ht="15.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17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 ht="15.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17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 ht="15.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17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 ht="15.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17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 ht="15.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17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 ht="15.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17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spans="1:41" ht="15.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17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 ht="15.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17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 ht="15.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17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spans="1:41" ht="15.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17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spans="1:41" ht="15.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17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spans="1:41" ht="15.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17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spans="1:41" ht="15.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17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spans="1:41" ht="15.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17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spans="1:41" ht="15.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17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spans="1:41" ht="15.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17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spans="1:41" ht="15.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17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 ht="15.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17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 ht="15.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17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 ht="15.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17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 ht="15.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17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 ht="15.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17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spans="1:41" ht="15.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17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spans="1:41" ht="15.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17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spans="1:41" ht="15.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17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spans="1:41" ht="15.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17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spans="1:41" ht="15.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17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spans="1:41" ht="15.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17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 ht="15.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17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 ht="15.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17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 ht="15.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17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 ht="15.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17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spans="1:41" ht="15.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17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 ht="15.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17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 ht="15.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17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spans="1:41" ht="15.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17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 spans="1:41" ht="15.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17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spans="1:41" ht="15.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17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 spans="1:41" ht="15.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17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spans="1:41" ht="15.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17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 spans="1:41" ht="15.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17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 spans="1:41" ht="15.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17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 spans="1:41" ht="15.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17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 spans="1:41" ht="15.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17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 spans="1:41" ht="15.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17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 spans="1:41" ht="15.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17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spans="1:41" ht="15.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17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 spans="1:41" ht="15.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17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 spans="1:41" ht="15.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17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 spans="1:41" ht="15.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17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 spans="1:41" ht="15.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17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 spans="1:41" ht="15.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17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 spans="1:41" ht="15.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17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 spans="1:41" ht="15.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17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 spans="1:41" ht="15.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17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 spans="1:41" ht="15.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17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 spans="1:41" ht="15.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17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 spans="1:41" ht="15.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17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 spans="1:41" ht="15.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17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spans="1:41" ht="15.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17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 spans="1:41" ht="15.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17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spans="1:41" ht="15.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17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 spans="1:41" ht="15.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17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spans="1:41" ht="15.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17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spans="1:41" ht="15.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17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41" ht="15.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17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41" ht="15.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17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41" ht="15.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17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41" ht="15.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17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41" ht="15.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17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41" ht="15.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17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41" ht="15.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17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:41" ht="15.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17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spans="1:41" ht="15.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17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:41" ht="15.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17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:41" ht="15.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17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:41" ht="15.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17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spans="1:41" ht="15.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17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:41" ht="15.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17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spans="1:41" ht="15.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17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:41" ht="15.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17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:41" ht="15.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17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:41" ht="15.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17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:41" ht="15.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17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:41" ht="15.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17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:41" ht="15.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17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:41" ht="15.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17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 ht="15.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17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:41" ht="15.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17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:41" ht="15.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17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spans="1:41" ht="15.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17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:41" ht="15.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17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:41" ht="15.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17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spans="1:41" ht="15.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17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:41" ht="15.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17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spans="1:41" ht="15.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17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spans="1:41" ht="15.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17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spans="1:41" ht="15.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17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spans="1:41" ht="15.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17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 spans="1:41" ht="15.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17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spans="1:41" ht="15.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17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spans="1:41" ht="15.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17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:41" ht="15.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17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spans="1:41" ht="15.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17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spans="1:41" ht="15.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17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spans="1:41" ht="15.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17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spans="1:41" ht="15.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17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spans="1:41" ht="15.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17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 spans="1:41" ht="15.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17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 spans="1:41" ht="15.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17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 spans="1:41" ht="15.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17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 spans="1:41" ht="15.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17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spans="1:41" ht="15.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17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 spans="1:41" ht="15.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17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:41" ht="15.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17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 spans="1:41" ht="15.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17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spans="1:41" ht="15.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17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 spans="1:41" ht="15.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17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spans="1:41" ht="15.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17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:41" ht="15.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17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 spans="1:41" ht="15.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17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spans="1:41" ht="15.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17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spans="1:41" ht="15.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17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:41" ht="15.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17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</row>
    <row r="437" spans="1:41" ht="15.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17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 spans="1:41" ht="15.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17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 spans="1:41" ht="15.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17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 spans="1:41" ht="15.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17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 spans="1:41" ht="15.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17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</row>
    <row r="442" spans="1:41" ht="15.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17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 spans="1:41" ht="15.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17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spans="1:41" ht="15.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17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 spans="1:41" ht="15.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17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spans="1:41" ht="15.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17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:41" ht="15.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17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:41" ht="15.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17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1:41" ht="15.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17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1:41" ht="15.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17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 spans="1:41" ht="15.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17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1:41" ht="15.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17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1:41" ht="15.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17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1:41" ht="15.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17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1:41" ht="15.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17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spans="1:41" ht="15.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17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1:41" ht="15.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17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1:41" ht="15.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17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1:41" ht="15.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17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1:41" ht="15.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17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 spans="1:41" ht="15.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17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1:41" ht="15.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17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spans="1:41" ht="15.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17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 spans="1:41" ht="15.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17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1:41" ht="15.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17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1:41" ht="15.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17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1:41" ht="15.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17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1:41" ht="15.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17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1:41" ht="15.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17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1:41" ht="15.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17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1:41" ht="15.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17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1:41" ht="15.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17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spans="1:41" ht="15.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17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1:41" ht="15.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17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 spans="1:41" ht="15.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17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 spans="1:41" ht="15.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17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 spans="1:41" ht="15.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17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 spans="1:41" ht="15.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17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</row>
    <row r="479" spans="1:41" ht="15.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17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spans="1:41" ht="15.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17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spans="1:41" ht="15.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17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 spans="1:41" ht="15.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17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</row>
    <row r="483" spans="1:41" ht="15.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17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</row>
    <row r="484" spans="1:41" ht="15.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17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</row>
    <row r="485" spans="1:41" ht="15.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17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</row>
    <row r="486" spans="1:41" ht="15.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17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 spans="1:41" ht="15.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17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</row>
    <row r="488" spans="1:41" ht="15.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17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</row>
    <row r="489" spans="1:41" ht="15.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17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</row>
    <row r="490" spans="1:41" ht="15.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17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 spans="1:41" ht="15.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17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 spans="1:41" ht="15.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17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 spans="1:41" ht="15.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17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</row>
    <row r="494" spans="1:41" ht="15.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17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 spans="1:41" ht="15.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17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</row>
    <row r="496" spans="1:41" ht="15.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17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 spans="1:41" ht="15.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17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</row>
    <row r="498" spans="1:41" ht="15.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17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</row>
    <row r="499" spans="1:41" ht="15.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17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</row>
    <row r="500" spans="1:41" ht="15.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17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 spans="1:41" ht="15.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17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 spans="1:41" ht="15.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17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 spans="1:41" ht="15.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17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</row>
    <row r="504" spans="1:41" ht="15.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17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 spans="1:41" ht="15.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17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 spans="1:41" ht="15.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17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 spans="1:41" ht="15.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17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</row>
    <row r="508" spans="1:41" ht="15.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17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</row>
    <row r="509" spans="1:41" ht="15.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17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</row>
    <row r="510" spans="1:41" ht="15.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17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 spans="1:41" ht="15.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17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 spans="1:41" ht="15.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17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spans="1:41" ht="15.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17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1:41" ht="15.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17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1:41" ht="15.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17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1:41" ht="15.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17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1:41" ht="15.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17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1:41" ht="15.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17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1:41" ht="15.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17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1:41" ht="15.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17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1:41" ht="15.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17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1:41" ht="15.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17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1:41" ht="15.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17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1:41" ht="15.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17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1:41" ht="15.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17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1:41" ht="15.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17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1:41" ht="15.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17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1:41" ht="15.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17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1:41" ht="15.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17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1:41" ht="15.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17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1:41" ht="15.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17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1:41" ht="15.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17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1:41" ht="15.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17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1:41" ht="15.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17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1:41" ht="15.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17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1:41" ht="15.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17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1:41" ht="15.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17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1:41" ht="15.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17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1:41" ht="15.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17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1:41" ht="15.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17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1:41" ht="15.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17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1:41" ht="15.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17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1:41" ht="15.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17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1:41" ht="15.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17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1:41" ht="15.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17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1:41" ht="15.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17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1:41" ht="15.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17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1:41" ht="15.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17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1:41" ht="15.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17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1:41" ht="15.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17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1:41" ht="15.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17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1:41" ht="15.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17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1:41" ht="15.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17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1:41" ht="15.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17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1:41" ht="15.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17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1:41" ht="15.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17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1:41" ht="15.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17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1:41" ht="15.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17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1:41" ht="15.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17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1:41" ht="15.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17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1:41" ht="15.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17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1:41" ht="15.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17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1:41" ht="15.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17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1:41" ht="15.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17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1:41" ht="15.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17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1:41" ht="15.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17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1:41" ht="15.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17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spans="1:41" ht="15.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17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</row>
    <row r="569" spans="1:41" ht="15.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17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</row>
    <row r="570" spans="1:41" ht="15.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17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 spans="1:41" ht="15.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17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spans="1:41" ht="15.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17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</row>
    <row r="573" spans="1:41" ht="15.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17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 spans="1:41" ht="15.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17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 spans="1:41" ht="15.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17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</row>
    <row r="576" spans="1:41" ht="15.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17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</row>
    <row r="577" spans="1:41" ht="15.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17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</row>
    <row r="578" spans="1:41" ht="15.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17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</row>
    <row r="579" spans="1:41" ht="15.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17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</row>
    <row r="580" spans="1:41" ht="15.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17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 spans="1:41" ht="15.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17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</row>
    <row r="582" spans="1:41" ht="15.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17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</row>
    <row r="583" spans="1:41" ht="15.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17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</row>
    <row r="584" spans="1:41" ht="15.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17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</row>
    <row r="585" spans="1:41" ht="15.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17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</row>
    <row r="586" spans="1:41" ht="15.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17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</row>
    <row r="587" spans="1:41" ht="15.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17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</row>
    <row r="588" spans="1:41" ht="15.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17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</row>
    <row r="589" spans="1:41" ht="15.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17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</row>
    <row r="590" spans="1:41" ht="15.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17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</row>
    <row r="591" spans="1:41" ht="15.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17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</row>
    <row r="592" spans="1:41" ht="15.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17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</row>
    <row r="593" spans="1:41" ht="15.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17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</row>
    <row r="594" spans="1:41" ht="15.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17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</row>
    <row r="595" spans="1:41" ht="15.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17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</row>
    <row r="596" spans="1:41" ht="15.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17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</row>
    <row r="597" spans="1:41" ht="15.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17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</row>
    <row r="598" spans="1:41" ht="15.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17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</row>
    <row r="599" spans="1:41" ht="15.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17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</row>
    <row r="600" spans="1:41" ht="15.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17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</row>
    <row r="601" spans="1:41" ht="15.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17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 spans="1:41" ht="15.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17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</row>
    <row r="603" spans="1:41" ht="15.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17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</row>
    <row r="604" spans="1:41" ht="15.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17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r="605" spans="1:41" ht="15.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17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</row>
    <row r="606" spans="1:41" ht="15.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17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</row>
    <row r="607" spans="1:41" ht="15.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17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</row>
    <row r="608" spans="1:41" ht="15.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17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</row>
    <row r="609" spans="1:41" ht="15.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17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</row>
    <row r="610" spans="1:41" ht="15.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17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</row>
    <row r="611" spans="1:41" ht="15.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17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</row>
    <row r="612" spans="1:41" ht="15.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17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</row>
    <row r="613" spans="1:41" ht="15.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17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</row>
    <row r="614" spans="1:41" ht="15.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17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</row>
    <row r="615" spans="1:41" ht="15.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17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</row>
    <row r="616" spans="1:41" ht="15.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17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</row>
    <row r="617" spans="1:41" ht="15.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17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</row>
    <row r="618" spans="1:41" ht="15.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17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</row>
    <row r="619" spans="1:41" ht="15.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17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</row>
    <row r="620" spans="1:41" ht="15.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17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</row>
    <row r="621" spans="1:41" ht="15.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17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</row>
    <row r="622" spans="1:41" ht="15.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17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</row>
    <row r="623" spans="1:41" ht="15.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17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</row>
    <row r="624" spans="1:41" ht="15.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17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</row>
    <row r="625" spans="1:41" ht="15.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17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</row>
    <row r="626" spans="1:41" ht="15.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17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</row>
    <row r="627" spans="1:41" ht="15.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17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</row>
    <row r="628" spans="1:41" ht="15.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17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</row>
    <row r="629" spans="1:41" ht="15.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17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</row>
    <row r="630" spans="1:41" ht="15.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17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</row>
    <row r="631" spans="1:41" ht="15.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17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</row>
    <row r="632" spans="1:41" ht="15.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17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</row>
    <row r="633" spans="1:41" ht="15.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17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</row>
    <row r="634" spans="1:41" ht="15.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17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</row>
    <row r="635" spans="1:41" ht="15.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17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</row>
    <row r="636" spans="1:41" ht="15.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17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</row>
    <row r="637" spans="1:41" ht="15.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17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</row>
    <row r="638" spans="1:41" ht="15.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17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</row>
    <row r="639" spans="1:41" ht="15.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17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</row>
    <row r="640" spans="1:41" ht="15.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17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</row>
    <row r="641" spans="1:41" ht="15.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17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 spans="1:41" ht="15.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17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</row>
    <row r="643" spans="1:41" ht="15.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17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</row>
    <row r="644" spans="1:41" ht="15.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17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</row>
    <row r="645" spans="1:41" ht="15.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17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</row>
    <row r="646" spans="1:41" ht="15.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17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</row>
    <row r="647" spans="1:41" ht="15.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17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</row>
    <row r="648" spans="1:41" ht="15.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17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</row>
    <row r="649" spans="1:41" ht="15.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17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</row>
    <row r="650" spans="1:41" ht="15.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17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</row>
    <row r="651" spans="1:41" ht="15.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17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</row>
    <row r="652" spans="1:41" ht="15.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17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</row>
    <row r="653" spans="1:41" ht="15.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17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</row>
    <row r="654" spans="1:41" ht="15.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17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</row>
    <row r="655" spans="1:41" ht="15.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17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 spans="1:41" ht="15.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17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</row>
    <row r="657" spans="1:41" ht="15.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17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</row>
    <row r="658" spans="1:41" ht="15.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17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</row>
    <row r="659" spans="1:41" ht="15.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17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</row>
    <row r="660" spans="1:41" ht="15.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17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</row>
    <row r="661" spans="1:41" ht="15.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17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</row>
    <row r="662" spans="1:41" ht="15.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17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</row>
    <row r="663" spans="1:41" ht="15.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17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</row>
    <row r="664" spans="1:41" ht="15.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17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</row>
    <row r="665" spans="1:41" ht="15.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17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</row>
    <row r="666" spans="1:41" ht="15.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17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</row>
    <row r="667" spans="1:41" ht="15.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17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</row>
    <row r="668" spans="1:41" ht="15.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17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</row>
    <row r="669" spans="1:41" ht="15.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17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</row>
    <row r="670" spans="1:41" ht="15.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17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</row>
    <row r="671" spans="1:41" ht="15.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17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</row>
    <row r="672" spans="1:41" ht="15.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17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</row>
    <row r="673" spans="1:41" ht="15.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17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</row>
    <row r="674" spans="1:41" ht="15.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17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</row>
    <row r="675" spans="1:41" ht="15.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17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</row>
    <row r="676" spans="1:41" ht="15.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17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</row>
    <row r="677" spans="1:41" ht="15.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17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</row>
    <row r="678" spans="1:41" ht="15.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17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</row>
    <row r="679" spans="1:41" ht="15.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17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</row>
    <row r="680" spans="1:41" ht="15.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17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 spans="1:41" ht="15.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17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</row>
    <row r="682" spans="1:41" ht="15.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17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</row>
    <row r="683" spans="1:41" ht="15.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17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</row>
    <row r="684" spans="1:41" ht="15.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17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</row>
    <row r="685" spans="1:41" ht="15.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17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</row>
    <row r="686" spans="1:41" ht="15.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17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</row>
    <row r="687" spans="1:41" ht="15.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17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</row>
    <row r="688" spans="1:41" ht="15.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17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</row>
    <row r="689" spans="1:41" ht="15.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17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</row>
    <row r="690" spans="1:41" ht="15.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17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</row>
    <row r="691" spans="1:41" ht="15.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17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</row>
    <row r="692" spans="1:41" ht="15.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17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</row>
    <row r="693" spans="1:41" ht="15.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17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</row>
    <row r="694" spans="1:41" ht="15.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17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</row>
    <row r="695" spans="1:41" ht="15.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17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</row>
    <row r="696" spans="1:41" ht="15.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17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</row>
    <row r="697" spans="1:41" ht="15.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17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</row>
    <row r="698" spans="1:41" ht="15.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17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</row>
    <row r="699" spans="1:41" ht="15.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17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</row>
    <row r="700" spans="1:41" ht="15.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17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</row>
    <row r="701" spans="1:41" ht="15.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17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</row>
    <row r="702" spans="1:41" ht="15.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17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</row>
    <row r="703" spans="1:41" ht="15.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17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</row>
    <row r="704" spans="1:41" ht="15.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17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</row>
    <row r="705" spans="1:41" ht="15.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17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</row>
    <row r="706" spans="1:41" ht="15.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17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</row>
    <row r="707" spans="1:41" ht="15.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17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</row>
    <row r="708" spans="1:41" ht="15.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17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</row>
    <row r="709" spans="1:41" ht="15.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17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</row>
    <row r="710" spans="1:41" ht="15.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17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</row>
    <row r="711" spans="1:41" ht="15.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17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</row>
    <row r="712" spans="1:41" ht="15.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17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</row>
    <row r="713" spans="1:41" ht="15.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17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</row>
    <row r="714" spans="1:41" ht="15.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17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</row>
    <row r="715" spans="1:41" ht="15.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17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</row>
    <row r="716" spans="1:41" ht="15.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17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</row>
    <row r="717" spans="1:41" ht="15.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17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</row>
    <row r="718" spans="1:41" ht="15.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17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</row>
    <row r="719" spans="1:41" ht="15.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17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</row>
    <row r="720" spans="1:41" ht="15.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17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</row>
    <row r="721" spans="1:41" ht="15.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17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</row>
    <row r="722" spans="1:41" ht="15.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17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</row>
    <row r="723" spans="1:41" ht="15.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17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 spans="1:41" ht="15.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17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 spans="1:41" ht="15.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17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 spans="1:41" ht="15.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17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 spans="1:41" ht="15.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17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</row>
    <row r="728" spans="1:41" ht="15.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17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</row>
    <row r="729" spans="1:41" ht="15.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17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spans="1:41" ht="15.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17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</row>
    <row r="731" spans="1:41" ht="15.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17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</row>
    <row r="732" spans="1:41" ht="15.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17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</row>
    <row r="733" spans="1:41" ht="15.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17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</row>
    <row r="734" spans="1:41" ht="15.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17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</row>
    <row r="735" spans="1:41" ht="15.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17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</row>
    <row r="736" spans="1:41" ht="15.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17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</row>
    <row r="737" spans="1:41" ht="15.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17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</row>
    <row r="738" spans="1:41" ht="15.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17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</row>
    <row r="739" spans="1:41" ht="15.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17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</row>
    <row r="740" spans="1:41" ht="15.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17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</row>
    <row r="741" spans="1:41" ht="15.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17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 spans="1:41" ht="15.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17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 spans="1:41" ht="15.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17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 spans="1:41" ht="15.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17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</row>
    <row r="745" spans="1:41" ht="15.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17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spans="1:41" ht="15.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17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</row>
    <row r="747" spans="1:41" ht="15.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17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</row>
    <row r="748" spans="1:41" ht="15.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17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</row>
    <row r="749" spans="1:41" ht="15.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17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</row>
    <row r="750" spans="1:41" ht="15.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17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</row>
    <row r="751" spans="1:41" ht="15.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17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</row>
    <row r="752" spans="1:41" ht="15.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17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</row>
    <row r="753" spans="1:41" ht="15.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17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</row>
    <row r="754" spans="1:41" ht="15.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17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 spans="1:41" ht="15.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17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 spans="1:41" ht="15.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17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</row>
    <row r="757" spans="1:41" ht="15.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17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 spans="1:41" ht="15.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17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</row>
    <row r="759" spans="1:41" ht="15.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17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</row>
    <row r="760" spans="1:41" ht="15.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17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 spans="1:41" ht="15.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17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</row>
    <row r="762" spans="1:41" ht="15.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17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</row>
    <row r="763" spans="1:41" ht="15.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17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</row>
    <row r="764" spans="1:41" ht="15.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17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 spans="1:41" ht="15.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17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 spans="1:41" ht="15.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17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</row>
    <row r="767" spans="1:41" ht="15.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17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</row>
    <row r="768" spans="1:41" ht="15.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17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</row>
    <row r="769" spans="1:41" ht="15.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17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</row>
    <row r="770" spans="1:41" ht="15.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17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</row>
    <row r="771" spans="1:41" ht="15.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17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</row>
    <row r="772" spans="1:41" ht="15.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17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</row>
    <row r="773" spans="1:41" ht="15.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17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</row>
    <row r="774" spans="1:41" ht="15.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17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</row>
    <row r="775" spans="1:41" ht="15.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17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</row>
    <row r="776" spans="1:41" ht="15.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17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</row>
    <row r="777" spans="1:41" ht="15.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17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 spans="1:41" ht="15.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17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 spans="1:41" ht="15.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17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  <row r="780" spans="1:41" ht="15.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17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</row>
    <row r="781" spans="1:41" ht="15.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17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 spans="1:41" ht="15.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17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 spans="1:41" ht="15.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17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 spans="1:41" ht="15.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17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</row>
    <row r="785" spans="1:41" ht="15.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17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</row>
    <row r="786" spans="1:41" ht="15.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17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</row>
    <row r="787" spans="1:41" ht="15.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17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</row>
    <row r="788" spans="1:41" ht="15.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17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</row>
    <row r="789" spans="1:41" ht="15.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17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</row>
    <row r="790" spans="1:41" ht="15.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17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</row>
    <row r="791" spans="1:41" ht="15.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17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</row>
    <row r="792" spans="1:41" ht="15.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17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</row>
    <row r="793" spans="1:41" ht="15.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17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</row>
    <row r="794" spans="1:41" ht="15.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17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</row>
    <row r="795" spans="1:41" ht="15.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17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</row>
    <row r="796" spans="1:41" ht="15.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17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</row>
    <row r="797" spans="1:41" ht="15.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17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</row>
    <row r="798" spans="1:41" ht="15.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17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</row>
    <row r="799" spans="1:41" ht="15.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17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</row>
    <row r="800" spans="1:41" ht="15.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17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</row>
    <row r="801" spans="1:41" ht="15.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17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</row>
    <row r="802" spans="1:41" ht="15.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17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</row>
    <row r="803" spans="1:41" ht="15.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17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</row>
    <row r="804" spans="1:41" ht="15.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17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</row>
    <row r="805" spans="1:41" ht="15.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17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 spans="1:41" ht="15.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17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</row>
    <row r="807" spans="1:41" ht="15.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17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 spans="1:41" ht="15.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17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</row>
    <row r="809" spans="1:41" ht="15.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17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</row>
    <row r="810" spans="1:41" ht="15.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17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 spans="1:41" ht="15.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17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 spans="1:41" ht="15.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17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 spans="1:41" ht="15.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17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 spans="1:41" ht="15.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17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 spans="1:41" ht="15.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17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 spans="1:41" ht="15.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17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</row>
    <row r="817" spans="1:41" ht="15.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17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 spans="1:41" ht="15.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17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 spans="1:41" ht="15.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17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spans="1:41" ht="15.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17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spans="1:41" ht="15.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17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 spans="1:41" ht="15.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17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 spans="1:41" ht="15.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17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 spans="1:41" ht="15.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17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</row>
    <row r="825" spans="1:41" ht="15.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17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</row>
    <row r="826" spans="1:41" ht="15.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17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 spans="1:41" ht="15.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17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 spans="1:41" ht="15.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17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 spans="1:41" ht="15.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17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</row>
    <row r="830" spans="1:41" ht="15.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17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 spans="1:41" ht="15.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17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 spans="1:41" ht="15.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17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 spans="1:41" ht="15.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17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 spans="1:41" ht="15.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17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 spans="1:41" ht="15.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17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</row>
    <row r="836" spans="1:41" ht="15.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17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 spans="1:41" ht="15.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17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</row>
    <row r="838" spans="1:41" ht="15.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17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 spans="1:41" ht="15.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17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 spans="1:41" ht="15.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17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 spans="1:41" ht="15.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17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</row>
    <row r="842" spans="1:41" ht="15.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17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 spans="1:41" ht="15.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17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 spans="1:41" ht="15.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17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</row>
    <row r="845" spans="1:41" ht="15.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17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 spans="1:41" ht="15.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17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 spans="1:41" ht="15.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17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 spans="1:41" ht="15.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17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ht="15.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17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ht="15.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17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 spans="1:41" ht="15.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17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 spans="1:41" ht="15.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17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 spans="1:41" ht="15.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17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 spans="1:41" ht="15.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17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 spans="1:41" ht="15.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17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spans="1:41" ht="15.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17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spans="1:41" ht="15.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17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spans="1:41" ht="15.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17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spans="1:41" ht="15.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17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spans="1:41" ht="15.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17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 spans="1:41" ht="15.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17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 spans="1:41" ht="15.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17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 spans="1:41" ht="15.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17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 spans="1:41" ht="15.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17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 spans="1:41" ht="15.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17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 spans="1:41" ht="15.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17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 spans="1:41" ht="15.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17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 spans="1:41" ht="15.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17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 spans="1:41" ht="15.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17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 spans="1:41" ht="15.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17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 spans="1:41" ht="15.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17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 spans="1:41" ht="15.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17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 spans="1:41" ht="15.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17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 spans="1:41" ht="15.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17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 spans="1:41" ht="15.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17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 spans="1:41" ht="15.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17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 spans="1:41" ht="15.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17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 spans="1:41" ht="15.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17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 spans="1:41" ht="15.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17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 spans="1:41" ht="15.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17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</row>
    <row r="881" spans="1:41" ht="15.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17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</row>
    <row r="882" spans="1:41" ht="15.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17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</row>
    <row r="883" spans="1:41" ht="15.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17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</row>
    <row r="884" spans="1:41" ht="15.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17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</row>
    <row r="885" spans="1:41" ht="15.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17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</row>
    <row r="886" spans="1:41" ht="15.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17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</row>
    <row r="887" spans="1:41" ht="15.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17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</row>
    <row r="888" spans="1:41" ht="15.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17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</row>
    <row r="889" spans="1:41" ht="15.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17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</row>
    <row r="890" spans="1:41" ht="15.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17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</row>
    <row r="891" spans="1:41" ht="15.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17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</row>
    <row r="892" spans="1:41" ht="15.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17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</row>
    <row r="893" spans="1:41" ht="15.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17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</row>
    <row r="894" spans="1:41" ht="15.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17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</row>
    <row r="895" spans="1:41" ht="15.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17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</row>
    <row r="896" spans="1:41" ht="15.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17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</row>
    <row r="897" spans="1:41" ht="15.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17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</row>
    <row r="898" spans="1:41" ht="15.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17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</row>
    <row r="899" spans="1:41" ht="15.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17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</row>
    <row r="900" spans="1:41" ht="15.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17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</row>
    <row r="901" spans="1:41" ht="15.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17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</row>
    <row r="902" spans="1:41" ht="15.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17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</row>
    <row r="903" spans="1:41" ht="15.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17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</row>
    <row r="904" spans="1:41" ht="15.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17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</row>
    <row r="905" spans="1:41" ht="15.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17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</row>
    <row r="906" spans="1:41" ht="15.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17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</row>
    <row r="907" spans="1:41" ht="15.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17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</row>
    <row r="908" spans="1:41" ht="15.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17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r="909" spans="1:41" ht="15.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17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</row>
    <row r="910" spans="1:41" ht="15.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17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</row>
    <row r="911" spans="1:41" ht="15.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17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</row>
    <row r="912" spans="1:41" ht="15.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17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</row>
    <row r="913" spans="1:41" ht="15.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17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</row>
    <row r="914" spans="1:41" ht="15.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17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</row>
    <row r="915" spans="1:41" ht="15.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17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</row>
    <row r="916" spans="1:41" ht="15.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17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</row>
    <row r="917" spans="1:41" ht="15.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17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</row>
    <row r="918" spans="1:41" ht="15.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17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</row>
    <row r="919" spans="1:41" ht="15.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17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</row>
    <row r="920" spans="1:41" ht="15.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17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</row>
    <row r="921" spans="1:41" ht="15.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17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</row>
    <row r="922" spans="1:41" ht="15.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17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</row>
    <row r="923" spans="1:41" ht="15.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17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</row>
    <row r="924" spans="1:41" ht="15.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17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</row>
    <row r="925" spans="1:41" ht="15.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17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</row>
    <row r="926" spans="1:41" ht="15.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17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</row>
    <row r="927" spans="1:41" ht="15.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17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</row>
    <row r="928" spans="1:41" ht="15.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17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</row>
    <row r="929" spans="1:41" ht="15.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17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</row>
    <row r="930" spans="1:41" ht="15.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17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</row>
    <row r="931" spans="1:41" ht="15.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17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</row>
    <row r="932" spans="1:41" ht="15.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17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</row>
    <row r="933" spans="1:41" ht="15.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17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</row>
    <row r="934" spans="1:41" ht="15.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17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</row>
    <row r="935" spans="1:41" ht="15.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17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</row>
    <row r="936" spans="1:41" ht="15.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17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</row>
    <row r="937" spans="1:41" ht="15.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17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</row>
    <row r="938" spans="1:41" ht="15.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17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</row>
    <row r="939" spans="1:41" ht="15.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17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</row>
    <row r="940" spans="1:41" ht="15.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17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</row>
    <row r="941" spans="1:41" ht="15.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17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</row>
    <row r="942" spans="1:41" ht="15.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17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</row>
    <row r="943" spans="1:41" ht="15.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17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</row>
    <row r="944" spans="1:41" ht="15.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17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</row>
    <row r="945" spans="1:41" ht="15.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17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</row>
    <row r="946" spans="1:41" ht="15.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17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</row>
    <row r="947" spans="1:41" ht="15.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17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</row>
    <row r="948" spans="1:41" ht="15.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17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</row>
    <row r="949" spans="1:41" ht="15.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17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</row>
    <row r="950" spans="1:41" ht="15.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17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</row>
    <row r="951" spans="1:41" ht="15.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17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</row>
    <row r="952" spans="1:41" ht="15.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17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</row>
    <row r="953" spans="1:41" ht="15.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17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</row>
    <row r="954" spans="1:41" ht="15.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17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</row>
    <row r="955" spans="1:41" ht="15.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17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</row>
    <row r="956" spans="1:41" ht="15.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17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</row>
    <row r="957" spans="1:41" ht="15.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17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 spans="1:41" ht="15.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17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 spans="1:41" ht="15.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17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 spans="1:41" ht="15.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17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</row>
    <row r="961" spans="1:41" ht="15.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17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 spans="1:41" ht="15.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17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 spans="1:41" ht="15.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17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 spans="1:41" ht="15.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17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</row>
    <row r="965" spans="1:41" ht="15.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17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</row>
    <row r="966" spans="1:41" ht="15.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17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</row>
    <row r="967" spans="1:41" ht="15.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17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</row>
    <row r="968" spans="1:41" ht="15.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17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</row>
    <row r="969" spans="1:41" ht="15.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17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</row>
    <row r="970" spans="1:41" ht="15.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17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</row>
    <row r="971" spans="1:41" ht="15.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17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</row>
    <row r="972" spans="1:41" ht="15.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17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</row>
    <row r="973" spans="1:41" ht="15.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17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</row>
    <row r="974" spans="1:41" ht="15.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17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</row>
    <row r="975" spans="1:41" ht="15.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17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</row>
    <row r="976" spans="1:41" ht="15.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17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</row>
    <row r="977" spans="1:41" ht="15.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17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</row>
    <row r="978" spans="1:41" ht="15.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17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</row>
    <row r="979" spans="1:41" ht="15.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17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</row>
    <row r="980" spans="1:41" ht="15.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17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</row>
    <row r="981" spans="1:41" ht="15.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17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</row>
    <row r="982" spans="1:41" ht="15.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17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</row>
    <row r="983" spans="1:41" ht="15.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17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</row>
    <row r="984" spans="1:41" ht="15.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17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</row>
    <row r="985" spans="1:41" ht="15.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17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</row>
    <row r="986" spans="1:41" ht="15.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17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spans="1:41" ht="15.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17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 spans="1:41" ht="15.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17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</row>
    <row r="989" spans="1:41" ht="15.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17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</row>
    <row r="990" spans="1:41" ht="15.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17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</row>
    <row r="991" spans="1:41" ht="15.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17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</row>
    <row r="992" spans="1:41" ht="15.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17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  <row r="993" spans="1:41" ht="15.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17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</row>
    <row r="994" spans="1:41" ht="15.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17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  <row r="995" spans="1:41" ht="15.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17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  <row r="996" spans="1:41" ht="15.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17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</row>
    <row r="997" spans="1:41" ht="15.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17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</row>
    <row r="998" spans="1:41" ht="15.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17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</row>
    <row r="999" spans="1:41" ht="15.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17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</row>
    <row r="1000" spans="1:41" ht="15.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17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DF80C-CD6D-443A-9518-70F103E0CE36}">
  <dimension ref="A1:T33"/>
  <sheetViews>
    <sheetView tabSelected="1" topLeftCell="A17" workbookViewId="0">
      <selection activeCell="B30" sqref="B30"/>
    </sheetView>
  </sheetViews>
  <sheetFormatPr defaultRowHeight="14.4"/>
  <cols>
    <col min="1" max="1" width="38" customWidth="1"/>
    <col min="2" max="2" width="16.109375" bestFit="1" customWidth="1"/>
    <col min="3" max="3" width="17.33203125" bestFit="1" customWidth="1"/>
    <col min="4" max="4" width="15.33203125" customWidth="1"/>
    <col min="5" max="5" width="16" customWidth="1"/>
    <col min="6" max="6" width="18.33203125" customWidth="1"/>
    <col min="7" max="8" width="15.88671875" customWidth="1"/>
    <col min="9" max="9" width="21.21875" customWidth="1"/>
    <col min="10" max="10" width="22.21875" customWidth="1"/>
    <col min="11" max="11" width="21.77734375" customWidth="1"/>
    <col min="12" max="12" width="19.109375" bestFit="1" customWidth="1"/>
    <col min="13" max="14" width="35.5546875" bestFit="1" customWidth="1"/>
    <col min="15" max="15" width="13.33203125" bestFit="1" customWidth="1"/>
    <col min="16" max="16" width="13.109375" bestFit="1" customWidth="1"/>
    <col min="17" max="17" width="15.33203125" bestFit="1" customWidth="1"/>
    <col min="18" max="18" width="18.33203125" bestFit="1" customWidth="1"/>
  </cols>
  <sheetData>
    <row r="1" spans="1:18" ht="15.6">
      <c r="A1" s="1" t="s">
        <v>0</v>
      </c>
      <c r="B1" s="4" t="s">
        <v>26</v>
      </c>
      <c r="C1" s="18" t="s">
        <v>33</v>
      </c>
      <c r="D1" s="18" t="s">
        <v>37</v>
      </c>
      <c r="E1" s="18" t="s">
        <v>39</v>
      </c>
      <c r="F1" s="18" t="s">
        <v>41</v>
      </c>
      <c r="G1" s="18" t="s">
        <v>44</v>
      </c>
      <c r="H1" s="18" t="s">
        <v>45</v>
      </c>
      <c r="I1" s="18" t="s">
        <v>46</v>
      </c>
      <c r="J1" s="18" t="s">
        <v>50</v>
      </c>
      <c r="K1" s="18" t="s">
        <v>51</v>
      </c>
      <c r="L1" s="18" t="s">
        <v>54</v>
      </c>
      <c r="M1" s="22" t="s">
        <v>56</v>
      </c>
      <c r="N1" s="22" t="s">
        <v>58</v>
      </c>
      <c r="O1" s="22" t="s">
        <v>59</v>
      </c>
      <c r="P1" s="18" t="s">
        <v>60</v>
      </c>
      <c r="Q1" s="18" t="s">
        <v>61</v>
      </c>
      <c r="R1" s="17" t="s">
        <v>62</v>
      </c>
    </row>
    <row r="2" spans="1:18" ht="15.6">
      <c r="A2" s="1" t="s">
        <v>1</v>
      </c>
      <c r="B2" s="4" t="s">
        <v>27</v>
      </c>
      <c r="C2" s="4" t="s">
        <v>34</v>
      </c>
      <c r="D2" s="4" t="s">
        <v>38</v>
      </c>
      <c r="E2" s="4" t="s">
        <v>40</v>
      </c>
      <c r="F2" s="4" t="s">
        <v>42</v>
      </c>
      <c r="G2" s="20">
        <v>45078</v>
      </c>
      <c r="H2" s="20">
        <v>45078</v>
      </c>
      <c r="I2" s="4" t="s">
        <v>47</v>
      </c>
      <c r="J2" s="4" t="s">
        <v>47</v>
      </c>
      <c r="K2" s="4" t="s">
        <v>52</v>
      </c>
      <c r="L2" s="21">
        <v>45551</v>
      </c>
      <c r="M2" s="21">
        <v>45796</v>
      </c>
      <c r="N2" s="20">
        <v>45814</v>
      </c>
      <c r="O2" s="20">
        <v>45809</v>
      </c>
      <c r="P2" s="21">
        <v>45820</v>
      </c>
      <c r="Q2" s="21">
        <v>45880</v>
      </c>
      <c r="R2" s="21">
        <v>45642</v>
      </c>
    </row>
    <row r="3" spans="1:18" ht="15.6">
      <c r="A3" s="1" t="s">
        <v>2</v>
      </c>
      <c r="B3" s="5"/>
      <c r="C3" s="15">
        <v>1600000</v>
      </c>
      <c r="D3" s="15">
        <v>1600000</v>
      </c>
      <c r="E3" s="15">
        <v>1050000</v>
      </c>
      <c r="F3" s="15">
        <v>550000</v>
      </c>
      <c r="G3" s="15">
        <v>500000</v>
      </c>
      <c r="H3" s="15">
        <v>500000</v>
      </c>
      <c r="I3" s="15">
        <v>750000</v>
      </c>
      <c r="J3" s="15">
        <v>750000</v>
      </c>
      <c r="K3" s="15">
        <v>750000</v>
      </c>
      <c r="L3" s="15">
        <v>1600000</v>
      </c>
      <c r="M3" s="15">
        <v>800000</v>
      </c>
      <c r="N3" s="15">
        <v>800000</v>
      </c>
      <c r="O3" s="15">
        <v>350000</v>
      </c>
      <c r="P3" s="15">
        <v>400000</v>
      </c>
      <c r="Q3" s="15">
        <v>700000</v>
      </c>
      <c r="R3" s="15">
        <v>350000</v>
      </c>
    </row>
    <row r="4" spans="1:18" ht="15.6">
      <c r="A4" s="1" t="s">
        <v>3</v>
      </c>
      <c r="B4" s="6">
        <v>42795</v>
      </c>
      <c r="C4" s="3"/>
      <c r="D4" s="17"/>
      <c r="E4" s="17"/>
      <c r="F4" s="3"/>
      <c r="G4" s="3"/>
      <c r="H4" s="3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5.6">
      <c r="A5" s="1" t="s">
        <v>4</v>
      </c>
      <c r="B5" s="7">
        <v>280000</v>
      </c>
      <c r="C5" s="3"/>
      <c r="D5" s="17"/>
      <c r="E5" s="17"/>
      <c r="F5" s="3"/>
      <c r="G5" s="3"/>
      <c r="H5" s="3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15.6">
      <c r="A6" s="1" t="s">
        <v>5</v>
      </c>
      <c r="B6" s="8">
        <v>43191</v>
      </c>
      <c r="C6" s="3"/>
      <c r="D6" s="17"/>
      <c r="E6" s="17"/>
      <c r="F6" s="3"/>
      <c r="G6" s="3"/>
      <c r="H6" s="3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ht="15.6">
      <c r="A7" s="1" t="s">
        <v>6</v>
      </c>
      <c r="B7" s="9">
        <v>470000</v>
      </c>
      <c r="C7" s="3"/>
      <c r="D7" s="17"/>
      <c r="E7" s="17"/>
      <c r="F7" s="3"/>
      <c r="G7" s="3"/>
      <c r="H7" s="3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ht="15.6">
      <c r="A8" s="1" t="s">
        <v>7</v>
      </c>
      <c r="B8" s="10">
        <v>43709</v>
      </c>
      <c r="C8" s="3"/>
      <c r="D8" s="17"/>
      <c r="E8" s="17"/>
      <c r="F8" s="3"/>
      <c r="G8" s="3"/>
      <c r="H8" s="3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ht="15.6">
      <c r="A9" s="1" t="s">
        <v>8</v>
      </c>
      <c r="B9" s="9">
        <v>740000</v>
      </c>
      <c r="C9" s="3"/>
      <c r="D9" s="17"/>
      <c r="E9" s="17"/>
      <c r="F9" s="3"/>
      <c r="G9" s="3"/>
      <c r="H9" s="3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ht="15.6">
      <c r="A10" s="1" t="s">
        <v>9</v>
      </c>
      <c r="B10" s="3" t="s">
        <v>28</v>
      </c>
      <c r="C10" s="3"/>
      <c r="D10" s="17"/>
      <c r="E10" s="17"/>
      <c r="F10" s="3"/>
      <c r="G10" s="3"/>
      <c r="H10" s="3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15.6">
      <c r="A11" s="1" t="s">
        <v>10</v>
      </c>
      <c r="B11" s="9">
        <v>740000</v>
      </c>
      <c r="C11" s="3"/>
      <c r="D11" s="17"/>
      <c r="E11" s="17"/>
      <c r="F11" s="3"/>
      <c r="G11" s="3"/>
      <c r="H11" s="3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15.6">
      <c r="A12" s="1" t="s">
        <v>11</v>
      </c>
      <c r="B12" s="8">
        <v>44287</v>
      </c>
      <c r="C12" s="3"/>
      <c r="D12" s="17"/>
      <c r="E12" s="17"/>
      <c r="F12" s="3"/>
      <c r="G12" s="3"/>
      <c r="H12" s="3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15.6">
      <c r="A13" s="1" t="s">
        <v>12</v>
      </c>
      <c r="B13" s="9">
        <v>1036000</v>
      </c>
      <c r="C13" s="3"/>
      <c r="D13" s="17"/>
      <c r="E13" s="17"/>
      <c r="F13" s="3"/>
      <c r="G13" s="3"/>
      <c r="H13" s="3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15.6">
      <c r="A14" s="1" t="s">
        <v>13</v>
      </c>
      <c r="B14" s="11">
        <v>44774</v>
      </c>
      <c r="C14" s="3"/>
      <c r="D14" s="17"/>
      <c r="E14" s="17"/>
      <c r="F14" s="3"/>
      <c r="G14" s="3"/>
      <c r="H14" s="3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15.6">
      <c r="A15" s="1" t="s">
        <v>14</v>
      </c>
      <c r="B15" s="12">
        <v>1398600</v>
      </c>
      <c r="C15" s="3"/>
      <c r="D15" s="17"/>
      <c r="E15" s="17"/>
      <c r="F15" s="3"/>
      <c r="G15" s="3"/>
      <c r="H15" s="3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15.6">
      <c r="A16" s="1" t="s">
        <v>15</v>
      </c>
      <c r="B16" s="13" t="s">
        <v>29</v>
      </c>
      <c r="C16" s="3"/>
      <c r="D16" s="17"/>
      <c r="E16" s="17"/>
      <c r="F16" s="3"/>
      <c r="G16" s="3"/>
      <c r="H16" s="3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20" ht="15.6">
      <c r="A17" s="1" t="s">
        <v>16</v>
      </c>
      <c r="B17" s="13" t="s">
        <v>30</v>
      </c>
      <c r="C17" s="3">
        <v>1600000</v>
      </c>
      <c r="D17" s="17"/>
      <c r="E17" s="17"/>
      <c r="F17" s="3">
        <v>550000</v>
      </c>
      <c r="G17" s="3">
        <v>650000</v>
      </c>
      <c r="H17" s="3">
        <v>650000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20" ht="15.6">
      <c r="A18" s="1" t="s">
        <v>17</v>
      </c>
      <c r="B18" s="4" t="s">
        <v>28</v>
      </c>
      <c r="C18" s="4" t="s">
        <v>35</v>
      </c>
      <c r="D18" s="17" t="s">
        <v>28</v>
      </c>
      <c r="E18" s="17" t="s">
        <v>28</v>
      </c>
      <c r="F18" s="4" t="s">
        <v>43</v>
      </c>
      <c r="G18" s="4" t="s">
        <v>43</v>
      </c>
      <c r="H18" s="4" t="s">
        <v>43</v>
      </c>
      <c r="I18" s="17" t="s">
        <v>28</v>
      </c>
      <c r="J18" s="17" t="s">
        <v>28</v>
      </c>
      <c r="K18" s="17" t="s">
        <v>28</v>
      </c>
      <c r="L18" s="17" t="s">
        <v>28</v>
      </c>
      <c r="M18" s="17" t="s">
        <v>28</v>
      </c>
      <c r="N18" s="17" t="s">
        <v>28</v>
      </c>
      <c r="O18" s="17" t="s">
        <v>28</v>
      </c>
      <c r="P18" s="17" t="s">
        <v>28</v>
      </c>
      <c r="Q18" s="17" t="s">
        <v>28</v>
      </c>
      <c r="R18" s="17" t="s">
        <v>28</v>
      </c>
    </row>
    <row r="19" spans="1:20" ht="15.6">
      <c r="A19" s="1" t="s">
        <v>18</v>
      </c>
      <c r="B19" s="13" t="s">
        <v>30</v>
      </c>
      <c r="C19" s="3">
        <v>1888000</v>
      </c>
      <c r="D19" s="17"/>
      <c r="E19" s="15">
        <v>1312500</v>
      </c>
      <c r="F19" s="3">
        <v>800000</v>
      </c>
      <c r="G19" s="3">
        <v>750000</v>
      </c>
      <c r="H19" s="3">
        <v>750000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20" ht="15.6">
      <c r="A20" s="2" t="s">
        <v>19</v>
      </c>
      <c r="B20" s="4" t="s">
        <v>31</v>
      </c>
      <c r="C20" s="19">
        <v>46198</v>
      </c>
      <c r="D20" s="17" t="s">
        <v>31</v>
      </c>
      <c r="E20" s="19">
        <v>46198</v>
      </c>
      <c r="F20" s="19">
        <v>46198</v>
      </c>
      <c r="G20" s="19">
        <v>46198</v>
      </c>
      <c r="H20" s="19">
        <v>46198</v>
      </c>
      <c r="I20" s="17"/>
      <c r="J20" s="17"/>
      <c r="K20" s="17"/>
      <c r="L20" s="17"/>
      <c r="M20" s="17" t="s">
        <v>28</v>
      </c>
      <c r="N20" s="17" t="s">
        <v>28</v>
      </c>
      <c r="O20" s="17" t="s">
        <v>28</v>
      </c>
      <c r="P20" s="17" t="s">
        <v>28</v>
      </c>
      <c r="Q20" s="17" t="s">
        <v>28</v>
      </c>
      <c r="R20" s="17" t="s">
        <v>28</v>
      </c>
    </row>
    <row r="21" spans="1:20" ht="15.6">
      <c r="A21" s="2" t="s">
        <v>20</v>
      </c>
      <c r="B21" s="4" t="s">
        <v>30</v>
      </c>
      <c r="C21" s="17"/>
      <c r="D21" s="17"/>
      <c r="E21" s="17"/>
      <c r="F21" s="17"/>
      <c r="G21" s="17"/>
      <c r="H21" s="17"/>
      <c r="I21" s="15">
        <v>750000</v>
      </c>
      <c r="J21" s="15">
        <v>750000</v>
      </c>
      <c r="K21" s="15">
        <v>750000</v>
      </c>
      <c r="L21" s="15">
        <v>1600000</v>
      </c>
      <c r="M21" s="17"/>
      <c r="N21" s="17"/>
      <c r="O21" s="17"/>
      <c r="P21" s="17"/>
      <c r="Q21" s="17"/>
      <c r="R21" s="15">
        <v>350000</v>
      </c>
    </row>
    <row r="22" spans="1:20" ht="15.6">
      <c r="A22" s="2" t="s">
        <v>21</v>
      </c>
      <c r="B22" s="14">
        <v>46079</v>
      </c>
      <c r="C22" s="3"/>
      <c r="D22" s="3"/>
      <c r="E22" s="3"/>
      <c r="F22" s="3"/>
      <c r="G22" s="3"/>
      <c r="H22" s="3"/>
      <c r="I22" s="14">
        <v>46079</v>
      </c>
      <c r="J22" s="14">
        <v>46079</v>
      </c>
      <c r="K22" s="14">
        <v>46079</v>
      </c>
      <c r="L22" s="14">
        <v>46079</v>
      </c>
      <c r="M22" s="3"/>
      <c r="N22" s="3"/>
      <c r="O22" s="3"/>
      <c r="P22" s="3"/>
      <c r="Q22" s="14"/>
      <c r="R22" s="14">
        <v>46079</v>
      </c>
    </row>
    <row r="23" spans="1:20" ht="15.6">
      <c r="A23" s="2"/>
      <c r="B23">
        <v>2018000</v>
      </c>
      <c r="C23" s="3"/>
      <c r="D23" s="3"/>
      <c r="E23" s="3"/>
      <c r="F23" s="3"/>
      <c r="G23" s="3"/>
      <c r="H23" s="3"/>
      <c r="I23" s="14"/>
      <c r="J23" s="14"/>
      <c r="K23" s="14"/>
      <c r="L23" s="14"/>
      <c r="M23" s="3"/>
      <c r="N23" s="3"/>
      <c r="O23" s="3"/>
      <c r="P23" s="3"/>
      <c r="Q23" s="14"/>
      <c r="R23" s="14"/>
    </row>
    <row r="24" spans="1:20" ht="15.6">
      <c r="A24" s="2" t="s">
        <v>22</v>
      </c>
      <c r="B24">
        <f>B23+50000</f>
        <v>2068000</v>
      </c>
      <c r="C24" s="2">
        <f>C30+150000</f>
        <v>2038000</v>
      </c>
      <c r="D24" s="2"/>
      <c r="E24" s="16"/>
      <c r="F24" s="2"/>
      <c r="G24" s="2"/>
      <c r="H24" s="2"/>
      <c r="I24" s="15" t="s">
        <v>48</v>
      </c>
      <c r="J24" s="15" t="s">
        <v>48</v>
      </c>
      <c r="K24" s="15" t="s">
        <v>48</v>
      </c>
      <c r="L24" s="15" t="s">
        <v>55</v>
      </c>
      <c r="M24" s="2">
        <f>M3+150000</f>
        <v>950000</v>
      </c>
      <c r="N24" s="358" t="s">
        <v>168</v>
      </c>
      <c r="O24" s="2">
        <f>O3+110000</f>
        <v>460000</v>
      </c>
      <c r="P24" s="2">
        <f>P30+110000</f>
        <v>510000</v>
      </c>
      <c r="Q24" s="2">
        <f>Q30+50000</f>
        <v>750000</v>
      </c>
      <c r="R24" s="15" t="s">
        <v>63</v>
      </c>
    </row>
    <row r="25" spans="1:20" ht="15.6">
      <c r="A25" s="2" t="s">
        <v>165</v>
      </c>
      <c r="B25" s="16" t="s">
        <v>162</v>
      </c>
      <c r="C25" s="2" t="s">
        <v>161</v>
      </c>
      <c r="D25" s="2"/>
      <c r="E25" s="16"/>
      <c r="F25" s="2"/>
      <c r="G25" s="2"/>
      <c r="H25" s="2"/>
      <c r="I25" s="2"/>
      <c r="J25" s="358" t="s">
        <v>166</v>
      </c>
      <c r="K25" s="358" t="s">
        <v>166</v>
      </c>
      <c r="L25" s="358" t="s">
        <v>166</v>
      </c>
      <c r="M25" s="2" t="s">
        <v>161</v>
      </c>
      <c r="N25" s="358" t="s">
        <v>169</v>
      </c>
      <c r="O25" s="2" t="s">
        <v>163</v>
      </c>
      <c r="P25" s="2" t="s">
        <v>163</v>
      </c>
      <c r="Q25" s="2" t="s">
        <v>162</v>
      </c>
      <c r="R25" s="358" t="s">
        <v>166</v>
      </c>
    </row>
    <row r="26" spans="1:20" ht="15.6">
      <c r="A26" s="2" t="s">
        <v>165</v>
      </c>
      <c r="B26" s="353">
        <v>50000</v>
      </c>
      <c r="C26" s="354">
        <v>150000</v>
      </c>
      <c r="D26" s="354"/>
      <c r="E26" s="353"/>
      <c r="F26" s="354"/>
      <c r="G26" s="354"/>
      <c r="H26" s="354"/>
      <c r="I26" s="354"/>
      <c r="J26" s="354"/>
      <c r="K26" s="354"/>
      <c r="L26" s="354"/>
      <c r="M26" s="354">
        <v>150000</v>
      </c>
      <c r="N26" s="359"/>
      <c r="O26" s="354">
        <v>110000</v>
      </c>
      <c r="P26" s="354">
        <v>110000</v>
      </c>
      <c r="Q26" s="354">
        <v>50000</v>
      </c>
      <c r="R26" s="354"/>
      <c r="S26" s="355"/>
      <c r="T26" s="355"/>
    </row>
    <row r="27" spans="1:20" ht="15.6">
      <c r="A27" s="2" t="s">
        <v>167</v>
      </c>
      <c r="B27" s="357">
        <f>B26/B30</f>
        <v>2.4777006937561942E-2</v>
      </c>
      <c r="C27" s="357">
        <f t="shared" ref="C27:Q27" si="0">C26/C30</f>
        <v>7.9449152542372878E-2</v>
      </c>
      <c r="D27" s="357">
        <f t="shared" si="0"/>
        <v>0</v>
      </c>
      <c r="E27" s="357">
        <f t="shared" si="0"/>
        <v>0</v>
      </c>
      <c r="F27" s="357">
        <f t="shared" si="0"/>
        <v>0</v>
      </c>
      <c r="G27" s="357">
        <f t="shared" si="0"/>
        <v>0</v>
      </c>
      <c r="H27" s="357">
        <f t="shared" si="0"/>
        <v>0</v>
      </c>
      <c r="I27" s="357">
        <f t="shared" si="0"/>
        <v>0</v>
      </c>
      <c r="J27" s="357">
        <f t="shared" si="0"/>
        <v>0</v>
      </c>
      <c r="K27" s="357">
        <f t="shared" si="0"/>
        <v>0</v>
      </c>
      <c r="L27" s="357">
        <f t="shared" si="0"/>
        <v>0</v>
      </c>
      <c r="M27" s="357">
        <f t="shared" si="0"/>
        <v>0.1875</v>
      </c>
      <c r="N27" s="360">
        <f t="shared" si="0"/>
        <v>0</v>
      </c>
      <c r="O27" s="357">
        <f t="shared" si="0"/>
        <v>0.31428571428571428</v>
      </c>
      <c r="P27" s="357">
        <f t="shared" si="0"/>
        <v>0.27500000000000002</v>
      </c>
      <c r="Q27" s="357">
        <f t="shared" si="0"/>
        <v>7.1428571428571425E-2</v>
      </c>
      <c r="R27" s="2"/>
    </row>
    <row r="28" spans="1:20" ht="15.6">
      <c r="A28" s="2" t="s">
        <v>164</v>
      </c>
      <c r="B28" s="351">
        <v>46054</v>
      </c>
      <c r="C28" s="352">
        <v>46054</v>
      </c>
      <c r="D28" s="2"/>
      <c r="E28" s="16"/>
      <c r="F28" s="2"/>
      <c r="G28" s="2"/>
      <c r="H28" s="2"/>
      <c r="I28" s="2"/>
      <c r="J28" s="2"/>
      <c r="K28" s="2"/>
      <c r="L28" s="2"/>
      <c r="M28" s="352">
        <v>46143</v>
      </c>
      <c r="N28" s="358"/>
      <c r="O28" s="352">
        <v>46174</v>
      </c>
      <c r="P28" s="352">
        <v>46174</v>
      </c>
      <c r="Q28" s="2"/>
      <c r="R28" s="2"/>
    </row>
    <row r="29" spans="1:20" ht="15.6">
      <c r="A29" s="2"/>
      <c r="B29" s="16"/>
      <c r="C29" s="2"/>
      <c r="D29" s="2"/>
      <c r="E29" s="16"/>
      <c r="F29" s="2"/>
      <c r="G29" s="2"/>
      <c r="H29" s="2"/>
      <c r="I29" s="2"/>
      <c r="J29" s="2"/>
      <c r="K29" s="2"/>
      <c r="L29" s="2"/>
      <c r="M29" s="2"/>
      <c r="N29" s="358"/>
      <c r="O29" s="2"/>
      <c r="P29" s="2"/>
      <c r="Q29" s="2"/>
      <c r="R29" s="2"/>
    </row>
    <row r="30" spans="1:20" ht="15.6">
      <c r="A30" s="2" t="s">
        <v>24</v>
      </c>
      <c r="B30" s="356">
        <v>2018000</v>
      </c>
      <c r="C30" s="2">
        <v>1888000</v>
      </c>
      <c r="D30" s="2">
        <v>1600000</v>
      </c>
      <c r="E30" s="16">
        <v>1312500</v>
      </c>
      <c r="F30" s="2">
        <v>900000</v>
      </c>
      <c r="G30" s="2">
        <v>750000</v>
      </c>
      <c r="H30" s="2">
        <v>750000</v>
      </c>
      <c r="I30" s="16">
        <v>900000</v>
      </c>
      <c r="J30" s="16">
        <v>900000</v>
      </c>
      <c r="K30" s="16">
        <v>900000</v>
      </c>
      <c r="L30" s="16" t="s">
        <v>55</v>
      </c>
      <c r="M30" s="2">
        <v>800000</v>
      </c>
      <c r="N30" s="358">
        <v>800000</v>
      </c>
      <c r="O30" s="2">
        <v>350000</v>
      </c>
      <c r="P30" s="2">
        <v>400000</v>
      </c>
      <c r="Q30" s="2">
        <v>700000</v>
      </c>
      <c r="R30" s="16" t="s">
        <v>63</v>
      </c>
    </row>
    <row r="31" spans="1:20" ht="15.6">
      <c r="A31" s="2" t="s">
        <v>25</v>
      </c>
      <c r="B31" s="17"/>
      <c r="C31" s="17" t="s">
        <v>36</v>
      </c>
      <c r="D31" s="17"/>
      <c r="E31" s="17" t="s">
        <v>36</v>
      </c>
      <c r="F31" s="17" t="s">
        <v>36</v>
      </c>
      <c r="G31" s="17" t="s">
        <v>36</v>
      </c>
      <c r="H31" s="17" t="s">
        <v>36</v>
      </c>
      <c r="I31" s="17" t="s">
        <v>49</v>
      </c>
      <c r="J31" s="17" t="s">
        <v>49</v>
      </c>
      <c r="K31" s="17" t="s">
        <v>53</v>
      </c>
      <c r="L31" s="17"/>
      <c r="M31" s="17" t="s">
        <v>57</v>
      </c>
      <c r="N31" s="17" t="s">
        <v>57</v>
      </c>
      <c r="O31" s="17"/>
      <c r="P31" s="17"/>
      <c r="Q31" s="17"/>
      <c r="R31" s="17"/>
    </row>
    <row r="33" spans="1:1" ht="15.6">
      <c r="A33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49"/>
  <sheetViews>
    <sheetView workbookViewId="0"/>
  </sheetViews>
  <sheetFormatPr defaultColWidth="12.6640625" defaultRowHeight="15" customHeight="1"/>
  <cols>
    <col min="1" max="1" width="37.77734375" customWidth="1"/>
    <col min="2" max="2" width="20.21875" customWidth="1"/>
    <col min="3" max="3" width="16" customWidth="1"/>
    <col min="4" max="4" width="15.77734375" customWidth="1"/>
    <col min="5" max="6" width="13.6640625" customWidth="1"/>
    <col min="7" max="8" width="13" customWidth="1"/>
    <col min="9" max="9" width="17.21875" customWidth="1"/>
    <col min="10" max="12" width="13" customWidth="1"/>
    <col min="13" max="14" width="13.6640625" customWidth="1"/>
    <col min="15" max="18" width="13" customWidth="1"/>
    <col min="19" max="19" width="13.6640625" customWidth="1"/>
    <col min="20" max="20" width="8.6640625" customWidth="1"/>
    <col min="21" max="22" width="12.77734375" customWidth="1"/>
    <col min="23" max="29" width="8.6640625" customWidth="1"/>
  </cols>
  <sheetData>
    <row r="1" spans="1:29" ht="14.25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29" ht="14.25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 spans="1:29" ht="14.25" customHeight="1">
      <c r="A3" s="24" t="s">
        <v>64</v>
      </c>
      <c r="B3" s="25">
        <v>1958000</v>
      </c>
      <c r="C3" s="25"/>
      <c r="D3" s="26" t="s">
        <v>65</v>
      </c>
      <c r="E3" s="27" t="s">
        <v>66</v>
      </c>
      <c r="F3" s="27" t="s">
        <v>67</v>
      </c>
      <c r="G3" s="26" t="s">
        <v>68</v>
      </c>
      <c r="H3" s="26" t="s">
        <v>69</v>
      </c>
      <c r="I3" s="26" t="s">
        <v>70</v>
      </c>
      <c r="J3" s="26" t="s">
        <v>71</v>
      </c>
      <c r="K3" s="27" t="s">
        <v>72</v>
      </c>
      <c r="L3" s="26" t="s">
        <v>73</v>
      </c>
      <c r="M3" s="27" t="s">
        <v>74</v>
      </c>
      <c r="N3" s="26" t="s">
        <v>75</v>
      </c>
      <c r="O3" s="27" t="s">
        <v>76</v>
      </c>
      <c r="P3" s="28"/>
      <c r="Q3" s="29" t="s">
        <v>65</v>
      </c>
      <c r="R3" s="29" t="s">
        <v>66</v>
      </c>
      <c r="S3" s="29" t="s">
        <v>67</v>
      </c>
      <c r="T3" s="29" t="s">
        <v>68</v>
      </c>
      <c r="U3" s="29" t="s">
        <v>69</v>
      </c>
      <c r="V3" s="30" t="s">
        <v>77</v>
      </c>
      <c r="W3" s="28"/>
      <c r="X3" s="23"/>
      <c r="Y3" s="23"/>
      <c r="Z3" s="23"/>
      <c r="AA3" s="23"/>
      <c r="AB3" s="23"/>
      <c r="AC3" s="23"/>
    </row>
    <row r="4" spans="1:29" ht="14.25" customHeight="1">
      <c r="A4" s="31" t="s">
        <v>78</v>
      </c>
      <c r="B4" s="32">
        <v>1718000</v>
      </c>
      <c r="C4" s="32"/>
      <c r="D4" s="32">
        <v>143166.6667</v>
      </c>
      <c r="E4" s="32">
        <v>143166.6667</v>
      </c>
      <c r="F4" s="32">
        <v>143166.6667</v>
      </c>
      <c r="G4" s="32">
        <v>143166.6667</v>
      </c>
      <c r="H4" s="32">
        <v>143166.6667</v>
      </c>
      <c r="I4" s="32">
        <v>143166.6667</v>
      </c>
      <c r="J4" s="32">
        <v>143166.6667</v>
      </c>
      <c r="K4" s="32">
        <v>143166.6667</v>
      </c>
      <c r="L4" s="32">
        <v>143166.6667</v>
      </c>
      <c r="M4" s="32">
        <v>143166.6667</v>
      </c>
      <c r="N4" s="32">
        <v>143166.6667</v>
      </c>
      <c r="O4" s="32">
        <v>143166.6667</v>
      </c>
      <c r="P4" s="23"/>
      <c r="Q4" s="32">
        <v>143166.6667</v>
      </c>
      <c r="R4" s="32">
        <v>143166.6667</v>
      </c>
      <c r="S4" s="32">
        <v>143166.6667</v>
      </c>
      <c r="T4" s="32">
        <v>143166.6667</v>
      </c>
      <c r="U4" s="32">
        <v>143166.6667</v>
      </c>
      <c r="V4" s="32">
        <v>143166.6667</v>
      </c>
      <c r="W4" s="23"/>
      <c r="X4" s="23"/>
      <c r="Y4" s="23"/>
      <c r="Z4" s="23"/>
      <c r="AA4" s="23"/>
      <c r="AB4" s="23"/>
      <c r="AC4" s="23"/>
    </row>
    <row r="5" spans="1:29" ht="14.25" customHeight="1">
      <c r="A5" s="33" t="s">
        <v>79</v>
      </c>
      <c r="B5" s="34">
        <v>240000</v>
      </c>
      <c r="C5" s="34">
        <f>D4+D5</f>
        <v>163166.6667</v>
      </c>
      <c r="D5" s="34">
        <v>20000</v>
      </c>
      <c r="E5" s="34">
        <v>20000</v>
      </c>
      <c r="F5" s="34">
        <v>20000</v>
      </c>
      <c r="G5" s="34">
        <v>20000</v>
      </c>
      <c r="H5" s="34">
        <v>20000</v>
      </c>
      <c r="I5" s="34">
        <v>20000</v>
      </c>
      <c r="J5" s="34">
        <v>20000</v>
      </c>
      <c r="K5" s="34">
        <v>20000</v>
      </c>
      <c r="L5" s="34">
        <v>20000</v>
      </c>
      <c r="M5" s="34">
        <v>20000</v>
      </c>
      <c r="N5" s="34">
        <v>20000</v>
      </c>
      <c r="O5" s="34">
        <v>20000</v>
      </c>
      <c r="P5" s="35"/>
      <c r="Q5" s="34">
        <v>20000</v>
      </c>
      <c r="R5" s="34">
        <v>20000</v>
      </c>
      <c r="S5" s="34">
        <v>20000</v>
      </c>
      <c r="T5" s="34">
        <v>20000</v>
      </c>
      <c r="U5" s="34">
        <v>20000</v>
      </c>
      <c r="V5" s="34">
        <v>20000</v>
      </c>
      <c r="W5" s="35"/>
      <c r="X5" s="35"/>
      <c r="Y5" s="35"/>
      <c r="Z5" s="35"/>
      <c r="AA5" s="35"/>
      <c r="AB5" s="35"/>
      <c r="AC5" s="35"/>
    </row>
    <row r="6" spans="1:29" ht="14.25" customHeight="1">
      <c r="A6" s="31" t="s">
        <v>80</v>
      </c>
      <c r="B6" s="31">
        <v>23400</v>
      </c>
      <c r="C6" s="31"/>
      <c r="D6" s="36">
        <v>1950</v>
      </c>
      <c r="E6" s="36">
        <v>1950</v>
      </c>
      <c r="F6" s="36">
        <v>1950</v>
      </c>
      <c r="G6" s="36">
        <v>1950</v>
      </c>
      <c r="H6" s="36">
        <v>1950</v>
      </c>
      <c r="I6" s="36">
        <v>1950</v>
      </c>
      <c r="J6" s="36">
        <v>1950</v>
      </c>
      <c r="K6" s="36">
        <v>1950</v>
      </c>
      <c r="L6" s="36">
        <v>1950</v>
      </c>
      <c r="M6" s="36">
        <v>1950</v>
      </c>
      <c r="N6" s="36">
        <v>1950</v>
      </c>
      <c r="O6" s="36">
        <v>1950</v>
      </c>
      <c r="P6" s="23"/>
      <c r="Q6" s="36">
        <v>1950</v>
      </c>
      <c r="R6" s="36">
        <v>1950</v>
      </c>
      <c r="S6" s="36">
        <v>1950</v>
      </c>
      <c r="T6" s="36">
        <v>1950</v>
      </c>
      <c r="U6" s="36">
        <v>1950</v>
      </c>
      <c r="V6" s="36">
        <v>1950</v>
      </c>
      <c r="W6" s="23"/>
      <c r="X6" s="23"/>
      <c r="Y6" s="23"/>
      <c r="Z6" s="23"/>
      <c r="AA6" s="23"/>
      <c r="AB6" s="23"/>
      <c r="AC6" s="23"/>
    </row>
    <row r="7" spans="1:29" ht="14.25" customHeight="1">
      <c r="A7" s="31" t="s">
        <v>81</v>
      </c>
      <c r="B7" s="31">
        <v>2400</v>
      </c>
      <c r="C7" s="31"/>
      <c r="D7" s="36">
        <v>200</v>
      </c>
      <c r="E7" s="36">
        <v>200</v>
      </c>
      <c r="F7" s="36">
        <v>200</v>
      </c>
      <c r="G7" s="36">
        <v>200</v>
      </c>
      <c r="H7" s="36">
        <v>200</v>
      </c>
      <c r="I7" s="36">
        <v>200</v>
      </c>
      <c r="J7" s="36">
        <v>200</v>
      </c>
      <c r="K7" s="36">
        <v>200</v>
      </c>
      <c r="L7" s="36">
        <v>200</v>
      </c>
      <c r="M7" s="36">
        <v>200</v>
      </c>
      <c r="N7" s="36">
        <v>300</v>
      </c>
      <c r="O7" s="36">
        <v>200</v>
      </c>
      <c r="P7" s="23"/>
      <c r="Q7" s="36">
        <v>200</v>
      </c>
      <c r="R7" s="36">
        <v>200</v>
      </c>
      <c r="S7" s="36">
        <v>200</v>
      </c>
      <c r="T7" s="36">
        <v>200</v>
      </c>
      <c r="U7" s="36">
        <v>200</v>
      </c>
      <c r="V7" s="36">
        <v>200</v>
      </c>
      <c r="W7" s="23"/>
      <c r="X7" s="23"/>
      <c r="Y7" s="23"/>
      <c r="Z7" s="23"/>
      <c r="AA7" s="23"/>
      <c r="AB7" s="23"/>
      <c r="AC7" s="23"/>
    </row>
    <row r="8" spans="1:29" ht="14.25" customHeight="1">
      <c r="A8" s="31" t="s">
        <v>82</v>
      </c>
      <c r="B8" s="31">
        <v>282840</v>
      </c>
      <c r="C8" s="31"/>
      <c r="D8" s="37">
        <v>24250</v>
      </c>
      <c r="E8" s="37">
        <v>24250</v>
      </c>
      <c r="F8" s="37">
        <v>24250</v>
      </c>
      <c r="G8" s="37">
        <v>24250</v>
      </c>
      <c r="H8" s="37">
        <v>24250</v>
      </c>
      <c r="I8" s="37">
        <v>24250</v>
      </c>
      <c r="J8" s="37">
        <v>24250</v>
      </c>
      <c r="K8" s="37">
        <v>24250</v>
      </c>
      <c r="L8" s="37">
        <v>24250</v>
      </c>
      <c r="M8" s="37">
        <v>24250</v>
      </c>
      <c r="N8" s="37">
        <v>24250</v>
      </c>
      <c r="O8" s="37">
        <v>24250</v>
      </c>
      <c r="P8" s="23"/>
      <c r="Q8" s="37">
        <v>15306</v>
      </c>
      <c r="R8" s="37">
        <v>15306</v>
      </c>
      <c r="S8" s="37">
        <v>15306</v>
      </c>
      <c r="T8" s="37">
        <v>15306</v>
      </c>
      <c r="U8" s="37">
        <v>15306</v>
      </c>
      <c r="V8" s="37">
        <v>15306</v>
      </c>
      <c r="W8" s="23"/>
      <c r="X8" s="23"/>
      <c r="Y8" s="23"/>
      <c r="Z8" s="23"/>
      <c r="AA8" s="23"/>
      <c r="AB8" s="23"/>
      <c r="AC8" s="23"/>
    </row>
    <row r="9" spans="1:29" ht="14.25" customHeight="1">
      <c r="A9" s="31" t="s">
        <v>83</v>
      </c>
      <c r="B9" s="31">
        <v>21600</v>
      </c>
      <c r="C9" s="31"/>
      <c r="D9" s="36">
        <v>1800</v>
      </c>
      <c r="E9" s="36">
        <v>1800</v>
      </c>
      <c r="F9" s="36">
        <v>1800</v>
      </c>
      <c r="G9" s="36">
        <v>1800</v>
      </c>
      <c r="H9" s="36">
        <v>1800</v>
      </c>
      <c r="I9" s="36">
        <v>1800</v>
      </c>
      <c r="J9" s="36">
        <v>1800</v>
      </c>
      <c r="K9" s="36">
        <v>1800</v>
      </c>
      <c r="L9" s="36">
        <v>1800</v>
      </c>
      <c r="M9" s="36">
        <v>1800</v>
      </c>
      <c r="N9" s="36">
        <v>1800</v>
      </c>
      <c r="O9" s="36">
        <v>1800</v>
      </c>
      <c r="P9" s="23"/>
      <c r="Q9" s="36">
        <v>1800</v>
      </c>
      <c r="R9" s="36">
        <v>1800</v>
      </c>
      <c r="S9" s="36">
        <v>1800</v>
      </c>
      <c r="T9" s="36">
        <v>1800</v>
      </c>
      <c r="U9" s="36">
        <v>1800</v>
      </c>
      <c r="V9" s="36">
        <v>1800</v>
      </c>
      <c r="W9" s="23"/>
      <c r="X9" s="23"/>
      <c r="Y9" s="23"/>
      <c r="Z9" s="23"/>
      <c r="AA9" s="23"/>
      <c r="AB9" s="23"/>
      <c r="AC9" s="23"/>
    </row>
    <row r="10" spans="1:29" ht="14.25" customHeight="1">
      <c r="A10" s="31" t="s">
        <v>84</v>
      </c>
      <c r="B10" s="31"/>
      <c r="C10" s="31"/>
      <c r="D10" s="36">
        <v>0</v>
      </c>
      <c r="E10" s="36">
        <v>0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23"/>
      <c r="Q10" s="36">
        <v>0</v>
      </c>
      <c r="R10" s="36">
        <v>0</v>
      </c>
      <c r="S10" s="36">
        <v>0</v>
      </c>
      <c r="T10" s="36">
        <v>0</v>
      </c>
      <c r="U10" s="36">
        <v>0</v>
      </c>
      <c r="V10" s="36">
        <v>0</v>
      </c>
      <c r="W10" s="23"/>
      <c r="X10" s="23"/>
      <c r="Y10" s="23"/>
      <c r="Z10" s="23"/>
      <c r="AA10" s="23"/>
      <c r="AB10" s="23"/>
      <c r="AC10" s="23"/>
    </row>
    <row r="11" spans="1:29" ht="14.25" customHeight="1">
      <c r="A11" s="31"/>
      <c r="B11" s="31">
        <f>B4+B5</f>
        <v>1958000</v>
      </c>
      <c r="C11" s="31"/>
      <c r="D11" s="38">
        <v>163166.6667</v>
      </c>
      <c r="E11" s="38">
        <v>163166.6667</v>
      </c>
      <c r="F11" s="38">
        <v>163166.6667</v>
      </c>
      <c r="G11" s="38">
        <v>163166.6667</v>
      </c>
      <c r="H11" s="38">
        <v>163166.6667</v>
      </c>
      <c r="I11" s="38">
        <v>163166.6667</v>
      </c>
      <c r="J11" s="38">
        <v>163166.6667</v>
      </c>
      <c r="K11" s="38">
        <v>163166.6667</v>
      </c>
      <c r="L11" s="38">
        <v>163166.6667</v>
      </c>
      <c r="M11" s="38">
        <v>163166.6667</v>
      </c>
      <c r="N11" s="38">
        <v>163166.6667</v>
      </c>
      <c r="O11" s="38">
        <v>163166.6667</v>
      </c>
      <c r="P11" s="39">
        <f t="shared" ref="P11:P13" si="0">SUM(D11:O11)</f>
        <v>1958000.0003999996</v>
      </c>
      <c r="Q11" s="38">
        <v>163166.6667</v>
      </c>
      <c r="R11" s="38">
        <v>163166.6667</v>
      </c>
      <c r="S11" s="38">
        <v>163166.6667</v>
      </c>
      <c r="T11" s="38">
        <v>163166.6667</v>
      </c>
      <c r="U11" s="38">
        <v>163166.6667</v>
      </c>
      <c r="V11" s="38">
        <v>163166.6667</v>
      </c>
      <c r="W11" s="23"/>
      <c r="X11" s="23"/>
      <c r="Y11" s="23"/>
      <c r="Z11" s="23"/>
      <c r="AA11" s="23"/>
      <c r="AB11" s="23"/>
      <c r="AC11" s="23"/>
    </row>
    <row r="12" spans="1:29" ht="14.25" customHeight="1">
      <c r="A12" s="31" t="s">
        <v>85</v>
      </c>
      <c r="B12" s="40">
        <f>SUM(B6:B9)</f>
        <v>330240</v>
      </c>
      <c r="C12" s="31"/>
      <c r="D12" s="36">
        <f t="shared" ref="D12:O12" si="1">D6+D7+D8+D9</f>
        <v>28200</v>
      </c>
      <c r="E12" s="36">
        <f t="shared" si="1"/>
        <v>28200</v>
      </c>
      <c r="F12" s="36">
        <f t="shared" si="1"/>
        <v>28200</v>
      </c>
      <c r="G12" s="36">
        <f t="shared" si="1"/>
        <v>28200</v>
      </c>
      <c r="H12" s="36">
        <f t="shared" si="1"/>
        <v>28200</v>
      </c>
      <c r="I12" s="36">
        <f t="shared" si="1"/>
        <v>28200</v>
      </c>
      <c r="J12" s="36">
        <f t="shared" si="1"/>
        <v>28200</v>
      </c>
      <c r="K12" s="36">
        <f t="shared" si="1"/>
        <v>28200</v>
      </c>
      <c r="L12" s="36">
        <f t="shared" si="1"/>
        <v>28200</v>
      </c>
      <c r="M12" s="36">
        <f t="shared" si="1"/>
        <v>28200</v>
      </c>
      <c r="N12" s="36">
        <f t="shared" si="1"/>
        <v>28300</v>
      </c>
      <c r="O12" s="36">
        <f t="shared" si="1"/>
        <v>28200</v>
      </c>
      <c r="P12" s="39">
        <f t="shared" si="0"/>
        <v>338500</v>
      </c>
      <c r="Q12" s="36">
        <f t="shared" ref="Q12:V12" si="2">Q6+Q7+Q8+Q9</f>
        <v>19256</v>
      </c>
      <c r="R12" s="36">
        <f t="shared" si="2"/>
        <v>19256</v>
      </c>
      <c r="S12" s="36">
        <f t="shared" si="2"/>
        <v>19256</v>
      </c>
      <c r="T12" s="36">
        <f t="shared" si="2"/>
        <v>19256</v>
      </c>
      <c r="U12" s="36">
        <f t="shared" si="2"/>
        <v>19256</v>
      </c>
      <c r="V12" s="36">
        <f t="shared" si="2"/>
        <v>19256</v>
      </c>
      <c r="W12" s="23"/>
      <c r="X12" s="23"/>
      <c r="Y12" s="23"/>
      <c r="Z12" s="23"/>
      <c r="AA12" s="23"/>
      <c r="AB12" s="23"/>
      <c r="AC12" s="23"/>
    </row>
    <row r="13" spans="1:29" ht="14.25" customHeight="1">
      <c r="A13" s="31" t="s">
        <v>86</v>
      </c>
      <c r="B13" s="41">
        <f>B11-B12</f>
        <v>1627760</v>
      </c>
      <c r="C13" s="31"/>
      <c r="D13" s="42">
        <f t="shared" ref="D13:O13" si="3">D11-D12</f>
        <v>134966.6667</v>
      </c>
      <c r="E13" s="42">
        <f t="shared" si="3"/>
        <v>134966.6667</v>
      </c>
      <c r="F13" s="42">
        <f t="shared" si="3"/>
        <v>134966.6667</v>
      </c>
      <c r="G13" s="42">
        <f t="shared" si="3"/>
        <v>134966.6667</v>
      </c>
      <c r="H13" s="42">
        <f t="shared" si="3"/>
        <v>134966.6667</v>
      </c>
      <c r="I13" s="42">
        <f t="shared" si="3"/>
        <v>134966.6667</v>
      </c>
      <c r="J13" s="42">
        <f t="shared" si="3"/>
        <v>134966.6667</v>
      </c>
      <c r="K13" s="42">
        <f t="shared" si="3"/>
        <v>134966.6667</v>
      </c>
      <c r="L13" s="42">
        <f t="shared" si="3"/>
        <v>134966.6667</v>
      </c>
      <c r="M13" s="42">
        <f t="shared" si="3"/>
        <v>134966.6667</v>
      </c>
      <c r="N13" s="42">
        <f t="shared" si="3"/>
        <v>134866.6667</v>
      </c>
      <c r="O13" s="42">
        <f t="shared" si="3"/>
        <v>134966.6667</v>
      </c>
      <c r="P13" s="39">
        <f t="shared" si="0"/>
        <v>1619500.0003999996</v>
      </c>
      <c r="Q13" s="42">
        <f t="shared" ref="Q13:V13" si="4">Q11-Q12</f>
        <v>143910.6667</v>
      </c>
      <c r="R13" s="42">
        <f t="shared" si="4"/>
        <v>143910.6667</v>
      </c>
      <c r="S13" s="42">
        <f t="shared" si="4"/>
        <v>143910.6667</v>
      </c>
      <c r="T13" s="42">
        <f t="shared" si="4"/>
        <v>143910.6667</v>
      </c>
      <c r="U13" s="42">
        <f t="shared" si="4"/>
        <v>143910.6667</v>
      </c>
      <c r="V13" s="42">
        <f t="shared" si="4"/>
        <v>143910.6667</v>
      </c>
      <c r="W13" s="23"/>
      <c r="X13" s="23"/>
      <c r="Y13" s="23"/>
      <c r="Z13" s="23"/>
      <c r="AA13" s="23"/>
      <c r="AB13" s="23"/>
      <c r="AC13" s="23"/>
    </row>
    <row r="14" spans="1:29" ht="14.2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>
        <f>U13+25</f>
        <v>143935.6667</v>
      </c>
      <c r="V14" s="23"/>
      <c r="W14" s="23"/>
      <c r="X14" s="23"/>
      <c r="Y14" s="23"/>
      <c r="Z14" s="23"/>
      <c r="AA14" s="23"/>
      <c r="AB14" s="23"/>
      <c r="AC14" s="23"/>
    </row>
    <row r="15" spans="1:29" ht="14.25" customHeight="1">
      <c r="A15" s="43"/>
      <c r="B15" s="44"/>
      <c r="C15" s="44"/>
      <c r="D15" s="44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spans="1:29" ht="14.25" customHeight="1">
      <c r="A16" s="24" t="s">
        <v>87</v>
      </c>
      <c r="B16" s="26"/>
      <c r="C16" s="26"/>
      <c r="D16" s="26" t="s">
        <v>65</v>
      </c>
      <c r="E16" s="27" t="s">
        <v>66</v>
      </c>
      <c r="F16" s="27" t="s">
        <v>67</v>
      </c>
      <c r="G16" s="26" t="s">
        <v>68</v>
      </c>
      <c r="H16" s="26" t="s">
        <v>69</v>
      </c>
      <c r="I16" s="26" t="s">
        <v>70</v>
      </c>
      <c r="J16" s="26" t="s">
        <v>71</v>
      </c>
      <c r="K16" s="27" t="s">
        <v>72</v>
      </c>
      <c r="L16" s="26" t="s">
        <v>73</v>
      </c>
      <c r="M16" s="27" t="s">
        <v>74</v>
      </c>
      <c r="N16" s="26" t="s">
        <v>75</v>
      </c>
      <c r="O16" s="27" t="s">
        <v>76</v>
      </c>
      <c r="P16" s="28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ht="14.25" customHeight="1">
      <c r="A17" s="45"/>
      <c r="B17" s="46">
        <v>1050000</v>
      </c>
      <c r="C17" s="46"/>
      <c r="D17" s="47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23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29" ht="14.25" customHeight="1">
      <c r="A18" s="47" t="s">
        <v>78</v>
      </c>
      <c r="B18" s="45"/>
      <c r="C18" s="45"/>
      <c r="D18" s="45"/>
      <c r="E18" s="49"/>
      <c r="F18" s="49"/>
      <c r="G18" s="45"/>
      <c r="H18" s="45"/>
      <c r="I18" s="45"/>
      <c r="J18" s="45"/>
      <c r="K18" s="49"/>
      <c r="L18" s="45"/>
      <c r="M18" s="49"/>
      <c r="N18" s="45"/>
      <c r="O18" s="49"/>
      <c r="P18" s="28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ht="14.25" customHeight="1">
      <c r="A19" s="50" t="s">
        <v>88</v>
      </c>
      <c r="B19" s="51">
        <v>930000</v>
      </c>
      <c r="C19" s="52">
        <f>B19/12</f>
        <v>77500</v>
      </c>
      <c r="D19" s="53">
        <v>77500</v>
      </c>
      <c r="E19" s="53">
        <v>77500</v>
      </c>
      <c r="F19" s="53">
        <v>77500</v>
      </c>
      <c r="G19" s="53">
        <v>77500</v>
      </c>
      <c r="H19" s="53">
        <v>77500</v>
      </c>
      <c r="I19" s="53">
        <v>77500</v>
      </c>
      <c r="J19" s="53">
        <v>77500</v>
      </c>
      <c r="K19" s="53">
        <v>77500</v>
      </c>
      <c r="L19" s="53">
        <v>77500</v>
      </c>
      <c r="M19" s="53">
        <v>77500</v>
      </c>
      <c r="N19" s="53">
        <v>77500</v>
      </c>
      <c r="O19" s="53">
        <v>77500</v>
      </c>
      <c r="P19" s="23"/>
      <c r="T19" s="35"/>
      <c r="U19" s="35"/>
      <c r="V19" s="35"/>
      <c r="W19" s="35"/>
      <c r="X19" s="35"/>
      <c r="Y19" s="35"/>
      <c r="Z19" s="35"/>
      <c r="AA19" s="35"/>
      <c r="AB19" s="35"/>
      <c r="AC19" s="35"/>
    </row>
    <row r="20" spans="1:29" ht="14.25" customHeight="1">
      <c r="A20" s="47" t="s">
        <v>89</v>
      </c>
      <c r="B20" s="54">
        <v>120000</v>
      </c>
      <c r="C20" s="54"/>
      <c r="D20" s="55">
        <v>10000</v>
      </c>
      <c r="E20" s="55">
        <v>10000</v>
      </c>
      <c r="F20" s="55">
        <v>10000</v>
      </c>
      <c r="G20" s="55">
        <v>10000</v>
      </c>
      <c r="H20" s="55">
        <v>10000</v>
      </c>
      <c r="I20" s="55">
        <v>10000</v>
      </c>
      <c r="J20" s="55">
        <v>10000</v>
      </c>
      <c r="K20" s="55">
        <v>10000</v>
      </c>
      <c r="L20" s="55">
        <v>10000</v>
      </c>
      <c r="M20" s="55">
        <v>10000</v>
      </c>
      <c r="N20" s="55">
        <v>10000</v>
      </c>
      <c r="O20" s="55">
        <v>10000</v>
      </c>
      <c r="P20" s="35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ht="14.25" customHeight="1">
      <c r="A21" s="47" t="s">
        <v>81</v>
      </c>
      <c r="B21" s="47">
        <f t="shared" ref="B21:B22" si="5">D21*12</f>
        <v>23400</v>
      </c>
      <c r="C21" s="47"/>
      <c r="D21" s="56">
        <v>1950</v>
      </c>
      <c r="E21" s="56">
        <v>1950</v>
      </c>
      <c r="F21" s="56">
        <v>1950</v>
      </c>
      <c r="G21" s="56">
        <v>1950</v>
      </c>
      <c r="H21" s="56">
        <v>1950</v>
      </c>
      <c r="I21" s="56">
        <v>1950</v>
      </c>
      <c r="J21" s="56">
        <v>1950</v>
      </c>
      <c r="K21" s="56">
        <v>1950</v>
      </c>
      <c r="L21" s="56">
        <v>1950</v>
      </c>
      <c r="M21" s="56">
        <v>1950</v>
      </c>
      <c r="N21" s="56">
        <v>1950</v>
      </c>
      <c r="O21" s="56">
        <v>1950</v>
      </c>
      <c r="P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ht="14.25" customHeight="1">
      <c r="A22" s="47" t="s">
        <v>82</v>
      </c>
      <c r="B22" s="47">
        <f t="shared" si="5"/>
        <v>2400</v>
      </c>
      <c r="C22" s="47"/>
      <c r="D22" s="56">
        <v>200</v>
      </c>
      <c r="E22" s="56">
        <v>200</v>
      </c>
      <c r="F22" s="56">
        <v>200</v>
      </c>
      <c r="G22" s="56">
        <v>200</v>
      </c>
      <c r="H22" s="56">
        <v>200</v>
      </c>
      <c r="I22" s="56">
        <v>200</v>
      </c>
      <c r="J22" s="56">
        <v>200</v>
      </c>
      <c r="K22" s="56">
        <v>200</v>
      </c>
      <c r="L22" s="56">
        <v>200</v>
      </c>
      <c r="M22" s="56">
        <v>200</v>
      </c>
      <c r="N22" s="56">
        <v>300</v>
      </c>
      <c r="O22" s="56">
        <v>200</v>
      </c>
      <c r="P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4.25" customHeight="1">
      <c r="A23" s="47" t="s">
        <v>83</v>
      </c>
      <c r="B23" s="47">
        <f>E23*11</f>
        <v>62403</v>
      </c>
      <c r="C23" s="47"/>
      <c r="D23" s="57">
        <v>5673</v>
      </c>
      <c r="E23" s="57">
        <v>5673</v>
      </c>
      <c r="F23" s="57">
        <v>5673</v>
      </c>
      <c r="G23" s="57">
        <v>5673</v>
      </c>
      <c r="H23" s="57">
        <v>5673</v>
      </c>
      <c r="I23" s="57">
        <v>5673</v>
      </c>
      <c r="J23" s="57">
        <v>5673</v>
      </c>
      <c r="K23" s="57">
        <v>5673</v>
      </c>
      <c r="L23" s="57">
        <v>5673</v>
      </c>
      <c r="M23" s="57">
        <v>5673</v>
      </c>
      <c r="N23" s="57">
        <v>5673</v>
      </c>
      <c r="O23" s="57">
        <v>5673</v>
      </c>
      <c r="P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spans="1:29" ht="14.25" customHeight="1">
      <c r="A24" s="47" t="s">
        <v>84</v>
      </c>
      <c r="B24" s="47">
        <f>D24*12</f>
        <v>21600</v>
      </c>
      <c r="C24" s="47"/>
      <c r="D24" s="56">
        <v>1800</v>
      </c>
      <c r="E24" s="56">
        <v>1800</v>
      </c>
      <c r="F24" s="56">
        <v>1800</v>
      </c>
      <c r="G24" s="56">
        <v>1800</v>
      </c>
      <c r="H24" s="56">
        <v>1800</v>
      </c>
      <c r="I24" s="56">
        <v>1800</v>
      </c>
      <c r="J24" s="56">
        <v>1800</v>
      </c>
      <c r="K24" s="56">
        <v>1800</v>
      </c>
      <c r="L24" s="56">
        <v>1800</v>
      </c>
      <c r="M24" s="56">
        <v>1800</v>
      </c>
      <c r="N24" s="56">
        <v>1800</v>
      </c>
      <c r="O24" s="56">
        <v>1800</v>
      </c>
      <c r="P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spans="1:29" ht="14.25" customHeight="1">
      <c r="A25" s="47"/>
      <c r="B25" s="47"/>
      <c r="C25" s="47"/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spans="1:29" ht="14.25" customHeight="1">
      <c r="A26" s="47" t="s">
        <v>85</v>
      </c>
      <c r="B26" s="58">
        <f>B19+B20</f>
        <v>1050000</v>
      </c>
      <c r="C26" s="47"/>
      <c r="D26" s="53">
        <v>87500</v>
      </c>
      <c r="E26" s="53">
        <v>87500</v>
      </c>
      <c r="F26" s="53">
        <v>87500</v>
      </c>
      <c r="G26" s="53">
        <v>87500</v>
      </c>
      <c r="H26" s="53">
        <v>87500</v>
      </c>
      <c r="I26" s="53">
        <v>87500</v>
      </c>
      <c r="J26" s="53">
        <v>87500</v>
      </c>
      <c r="K26" s="53">
        <v>87500</v>
      </c>
      <c r="L26" s="53">
        <v>87500</v>
      </c>
      <c r="M26" s="53">
        <v>87500</v>
      </c>
      <c r="N26" s="53">
        <v>87500</v>
      </c>
      <c r="O26" s="53">
        <v>87500</v>
      </c>
      <c r="P26" s="39">
        <f t="shared" ref="P26:P28" si="6">SUM(D26:O26)</f>
        <v>1050000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spans="1:29" ht="14.25" customHeight="1">
      <c r="A27" s="59"/>
      <c r="B27" s="47">
        <f>SUM(B21:B25)</f>
        <v>109803</v>
      </c>
      <c r="C27" s="47"/>
      <c r="D27" s="60">
        <f t="shared" ref="D27:O27" si="7">D21+D22+D23+D24</f>
        <v>9623</v>
      </c>
      <c r="E27" s="60">
        <f t="shared" si="7"/>
        <v>9623</v>
      </c>
      <c r="F27" s="60">
        <f t="shared" si="7"/>
        <v>9623</v>
      </c>
      <c r="G27" s="60">
        <f t="shared" si="7"/>
        <v>9623</v>
      </c>
      <c r="H27" s="60">
        <f t="shared" si="7"/>
        <v>9623</v>
      </c>
      <c r="I27" s="60">
        <f t="shared" si="7"/>
        <v>9623</v>
      </c>
      <c r="J27" s="60">
        <f t="shared" si="7"/>
        <v>9623</v>
      </c>
      <c r="K27" s="60">
        <f t="shared" si="7"/>
        <v>9623</v>
      </c>
      <c r="L27" s="60">
        <f t="shared" si="7"/>
        <v>9623</v>
      </c>
      <c r="M27" s="60">
        <f t="shared" si="7"/>
        <v>9623</v>
      </c>
      <c r="N27" s="60">
        <f t="shared" si="7"/>
        <v>9723</v>
      </c>
      <c r="O27" s="60">
        <f t="shared" si="7"/>
        <v>9623</v>
      </c>
      <c r="P27" s="61">
        <f t="shared" si="6"/>
        <v>115576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spans="1:29" ht="14.25" customHeight="1">
      <c r="A28" s="47" t="s">
        <v>86</v>
      </c>
      <c r="B28" s="62">
        <f>B26-B27</f>
        <v>940197</v>
      </c>
      <c r="C28" s="63"/>
      <c r="D28" s="64">
        <f t="shared" ref="D28:O28" si="8">D26-D27</f>
        <v>77877</v>
      </c>
      <c r="E28" s="64">
        <f t="shared" si="8"/>
        <v>77877</v>
      </c>
      <c r="F28" s="64">
        <f t="shared" si="8"/>
        <v>77877</v>
      </c>
      <c r="G28" s="64">
        <f t="shared" si="8"/>
        <v>77877</v>
      </c>
      <c r="H28" s="64">
        <f t="shared" si="8"/>
        <v>77877</v>
      </c>
      <c r="I28" s="64">
        <f t="shared" si="8"/>
        <v>77877</v>
      </c>
      <c r="J28" s="64">
        <f t="shared" si="8"/>
        <v>77877</v>
      </c>
      <c r="K28" s="64">
        <f t="shared" si="8"/>
        <v>77877</v>
      </c>
      <c r="L28" s="64">
        <f t="shared" si="8"/>
        <v>77877</v>
      </c>
      <c r="M28" s="64">
        <f t="shared" si="8"/>
        <v>77877</v>
      </c>
      <c r="N28" s="64">
        <f t="shared" si="8"/>
        <v>77777</v>
      </c>
      <c r="O28" s="64">
        <f t="shared" si="8"/>
        <v>77877</v>
      </c>
      <c r="P28" s="65">
        <f t="shared" si="6"/>
        <v>934424</v>
      </c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</row>
    <row r="29" spans="1:29" ht="14.25" customHeight="1">
      <c r="A29" s="67"/>
      <c r="B29" s="67"/>
      <c r="C29" s="67"/>
      <c r="D29" s="67"/>
      <c r="E29" s="67"/>
      <c r="F29" s="67"/>
      <c r="G29" s="31"/>
      <c r="H29" s="68"/>
      <c r="I29" s="68"/>
      <c r="J29" s="68"/>
      <c r="K29" s="68"/>
      <c r="L29" s="68"/>
      <c r="M29" s="68"/>
      <c r="N29" s="68"/>
      <c r="O29" s="68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ht="14.25" customHeight="1">
      <c r="A30" s="69" t="s">
        <v>90</v>
      </c>
      <c r="B30" s="70">
        <v>1312500</v>
      </c>
      <c r="C30" s="68"/>
      <c r="D30" s="26" t="s">
        <v>65</v>
      </c>
      <c r="E30" s="27" t="s">
        <v>66</v>
      </c>
      <c r="F30" s="27" t="s">
        <v>67</v>
      </c>
      <c r="G30" s="26" t="s">
        <v>68</v>
      </c>
      <c r="H30" s="26" t="s">
        <v>69</v>
      </c>
      <c r="I30" s="26" t="s">
        <v>70</v>
      </c>
      <c r="J30" s="26" t="s">
        <v>71</v>
      </c>
      <c r="K30" s="27" t="s">
        <v>72</v>
      </c>
      <c r="L30" s="26" t="s">
        <v>73</v>
      </c>
      <c r="M30" s="27" t="s">
        <v>74</v>
      </c>
      <c r="N30" s="26" t="s">
        <v>75</v>
      </c>
      <c r="O30" s="27" t="s">
        <v>76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ht="14.25" customHeight="1">
      <c r="A31" s="31" t="s">
        <v>78</v>
      </c>
      <c r="B31" s="71">
        <v>1132500</v>
      </c>
      <c r="C31" s="67">
        <f t="shared" ref="C31:C32" si="9">B31/12</f>
        <v>94375</v>
      </c>
      <c r="D31" s="32">
        <v>77500</v>
      </c>
      <c r="E31" s="32">
        <v>77500</v>
      </c>
      <c r="F31" s="72">
        <v>94375</v>
      </c>
      <c r="G31" s="72">
        <v>94375</v>
      </c>
      <c r="H31" s="72">
        <v>94375</v>
      </c>
      <c r="I31" s="72">
        <v>94375</v>
      </c>
      <c r="J31" s="72">
        <v>94375</v>
      </c>
      <c r="K31" s="72">
        <v>94375</v>
      </c>
      <c r="L31" s="72">
        <v>94375</v>
      </c>
      <c r="M31" s="72">
        <v>94375</v>
      </c>
      <c r="N31" s="72">
        <v>94375</v>
      </c>
      <c r="O31" s="72">
        <v>94375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ht="14.25" customHeight="1">
      <c r="A32" s="73" t="s">
        <v>91</v>
      </c>
      <c r="B32" s="71">
        <v>180000</v>
      </c>
      <c r="C32" s="67">
        <f t="shared" si="9"/>
        <v>15000</v>
      </c>
      <c r="D32" s="74">
        <v>10000</v>
      </c>
      <c r="E32" s="74">
        <v>10000</v>
      </c>
      <c r="F32" s="75">
        <v>15000</v>
      </c>
      <c r="G32" s="75">
        <v>15000</v>
      </c>
      <c r="H32" s="75">
        <v>15000</v>
      </c>
      <c r="I32" s="75">
        <v>15000</v>
      </c>
      <c r="J32" s="75">
        <v>15000</v>
      </c>
      <c r="K32" s="75">
        <v>15000</v>
      </c>
      <c r="L32" s="75">
        <v>15000</v>
      </c>
      <c r="M32" s="75">
        <v>15000</v>
      </c>
      <c r="N32" s="75">
        <v>15000</v>
      </c>
      <c r="O32" s="75">
        <v>15000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ht="14.25" customHeight="1">
      <c r="A33" s="31" t="s">
        <v>89</v>
      </c>
      <c r="B33" s="76"/>
      <c r="C33" s="67">
        <f>C31+C32</f>
        <v>109375</v>
      </c>
      <c r="D33" s="36">
        <v>1950</v>
      </c>
      <c r="E33" s="36">
        <v>1950</v>
      </c>
      <c r="F33" s="36">
        <v>1950</v>
      </c>
      <c r="G33" s="36">
        <v>1950</v>
      </c>
      <c r="H33" s="36">
        <v>1950</v>
      </c>
      <c r="I33" s="36">
        <v>1950</v>
      </c>
      <c r="J33" s="36">
        <v>1950</v>
      </c>
      <c r="K33" s="36">
        <v>1950</v>
      </c>
      <c r="L33" s="36">
        <v>1950</v>
      </c>
      <c r="M33" s="36">
        <v>1950</v>
      </c>
      <c r="N33" s="36">
        <v>1950</v>
      </c>
      <c r="O33" s="36">
        <v>1950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ht="14.25" customHeight="1">
      <c r="A34" s="31" t="s">
        <v>81</v>
      </c>
      <c r="B34" s="76"/>
      <c r="C34" s="67">
        <f t="shared" ref="C34:C37" si="10">B34/12</f>
        <v>0</v>
      </c>
      <c r="D34" s="36">
        <v>200</v>
      </c>
      <c r="E34" s="36">
        <v>200</v>
      </c>
      <c r="F34" s="36">
        <v>200</v>
      </c>
      <c r="G34" s="36">
        <v>200</v>
      </c>
      <c r="H34" s="36">
        <v>200</v>
      </c>
      <c r="I34" s="36">
        <v>200</v>
      </c>
      <c r="J34" s="36">
        <v>200</v>
      </c>
      <c r="K34" s="36">
        <v>200</v>
      </c>
      <c r="L34" s="36">
        <v>200</v>
      </c>
      <c r="M34" s="36">
        <v>200</v>
      </c>
      <c r="N34" s="36">
        <v>200</v>
      </c>
      <c r="O34" s="36">
        <v>200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4.25" customHeight="1">
      <c r="A35" s="31" t="s">
        <v>82</v>
      </c>
      <c r="B35" s="67"/>
      <c r="C35" s="67">
        <f t="shared" si="10"/>
        <v>0</v>
      </c>
      <c r="D35" s="77">
        <v>0</v>
      </c>
      <c r="E35" s="77">
        <v>0</v>
      </c>
      <c r="F35" s="77">
        <v>0</v>
      </c>
      <c r="G35" s="77">
        <v>0</v>
      </c>
      <c r="H35" s="77">
        <v>0</v>
      </c>
      <c r="I35" s="77">
        <v>0</v>
      </c>
      <c r="J35" s="77">
        <v>0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spans="1:29" ht="14.25" customHeight="1">
      <c r="A36" s="31" t="s">
        <v>83</v>
      </c>
      <c r="B36" s="67"/>
      <c r="C36" s="67">
        <f t="shared" si="10"/>
        <v>0</v>
      </c>
      <c r="D36" s="36">
        <v>1800</v>
      </c>
      <c r="E36" s="36">
        <v>1800</v>
      </c>
      <c r="F36" s="36">
        <v>1800</v>
      </c>
      <c r="G36" s="36">
        <v>1800</v>
      </c>
      <c r="H36" s="36">
        <v>1800</v>
      </c>
      <c r="I36" s="36">
        <v>1800</v>
      </c>
      <c r="J36" s="36">
        <v>1800</v>
      </c>
      <c r="K36" s="36">
        <v>1800</v>
      </c>
      <c r="L36" s="36">
        <v>1800</v>
      </c>
      <c r="M36" s="36">
        <v>1800</v>
      </c>
      <c r="N36" s="36">
        <v>1800</v>
      </c>
      <c r="O36" s="36">
        <v>1800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spans="1:29" ht="14.25" customHeight="1">
      <c r="A37" s="31" t="s">
        <v>84</v>
      </c>
      <c r="B37" s="67"/>
      <c r="C37" s="67">
        <f t="shared" si="10"/>
        <v>0</v>
      </c>
      <c r="D37" s="36">
        <v>0</v>
      </c>
      <c r="E37" s="36">
        <v>0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  <c r="O37" s="36">
        <v>0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spans="1:29" ht="14.25" customHeight="1">
      <c r="A38" s="31"/>
      <c r="B38" s="67"/>
      <c r="C38" s="67"/>
      <c r="D38" s="32">
        <v>87500</v>
      </c>
      <c r="E38" s="32">
        <v>87500</v>
      </c>
      <c r="F38" s="67">
        <f t="shared" ref="F38:O38" si="11">F31+F32</f>
        <v>109375</v>
      </c>
      <c r="G38" s="67">
        <f t="shared" si="11"/>
        <v>109375</v>
      </c>
      <c r="H38" s="67">
        <f t="shared" si="11"/>
        <v>109375</v>
      </c>
      <c r="I38" s="67">
        <f t="shared" si="11"/>
        <v>109375</v>
      </c>
      <c r="J38" s="67">
        <f t="shared" si="11"/>
        <v>109375</v>
      </c>
      <c r="K38" s="67">
        <f t="shared" si="11"/>
        <v>109375</v>
      </c>
      <c r="L38" s="67">
        <f t="shared" si="11"/>
        <v>109375</v>
      </c>
      <c r="M38" s="67">
        <f t="shared" si="11"/>
        <v>109375</v>
      </c>
      <c r="N38" s="67">
        <f t="shared" si="11"/>
        <v>109375</v>
      </c>
      <c r="O38" s="67">
        <f t="shared" si="11"/>
        <v>109375</v>
      </c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spans="1:29" ht="14.25" customHeight="1">
      <c r="A39" s="31" t="s">
        <v>85</v>
      </c>
      <c r="B39" s="67"/>
      <c r="C39" s="67"/>
      <c r="D39" s="78">
        <f t="shared" ref="D39:O39" si="12">D33+D34+D35+D36</f>
        <v>3950</v>
      </c>
      <c r="E39" s="78">
        <f t="shared" si="12"/>
        <v>3950</v>
      </c>
      <c r="F39" s="79">
        <f t="shared" si="12"/>
        <v>3950</v>
      </c>
      <c r="G39" s="79">
        <f t="shared" si="12"/>
        <v>3950</v>
      </c>
      <c r="H39" s="79">
        <f t="shared" si="12"/>
        <v>3950</v>
      </c>
      <c r="I39" s="79">
        <f t="shared" si="12"/>
        <v>3950</v>
      </c>
      <c r="J39" s="79">
        <f t="shared" si="12"/>
        <v>3950</v>
      </c>
      <c r="K39" s="79">
        <f t="shared" si="12"/>
        <v>3950</v>
      </c>
      <c r="L39" s="79">
        <f t="shared" si="12"/>
        <v>3950</v>
      </c>
      <c r="M39" s="79">
        <f t="shared" si="12"/>
        <v>3950</v>
      </c>
      <c r="N39" s="79">
        <f t="shared" si="12"/>
        <v>3950</v>
      </c>
      <c r="O39" s="79">
        <f t="shared" si="12"/>
        <v>3950</v>
      </c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spans="1:29" ht="14.25" customHeight="1">
      <c r="A40" s="31" t="s">
        <v>86</v>
      </c>
      <c r="B40" s="80"/>
      <c r="C40" s="80"/>
      <c r="D40" s="81">
        <f t="shared" ref="D40:O40" si="13">D38-D39</f>
        <v>83550</v>
      </c>
      <c r="E40" s="81">
        <f t="shared" si="13"/>
        <v>83550</v>
      </c>
      <c r="F40" s="82">
        <f t="shared" si="13"/>
        <v>105425</v>
      </c>
      <c r="G40" s="82">
        <f t="shared" si="13"/>
        <v>105425</v>
      </c>
      <c r="H40" s="82">
        <f t="shared" si="13"/>
        <v>105425</v>
      </c>
      <c r="I40" s="82">
        <f t="shared" si="13"/>
        <v>105425</v>
      </c>
      <c r="J40" s="82">
        <f t="shared" si="13"/>
        <v>105425</v>
      </c>
      <c r="K40" s="82">
        <f t="shared" si="13"/>
        <v>105425</v>
      </c>
      <c r="L40" s="82">
        <f t="shared" si="13"/>
        <v>105425</v>
      </c>
      <c r="M40" s="82">
        <f t="shared" si="13"/>
        <v>105425</v>
      </c>
      <c r="N40" s="82">
        <f t="shared" si="13"/>
        <v>105425</v>
      </c>
      <c r="O40" s="82">
        <f t="shared" si="13"/>
        <v>105425</v>
      </c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</row>
    <row r="41" spans="1:29" ht="14.25" customHeight="1">
      <c r="G41" s="83"/>
      <c r="H41" s="84">
        <f>H40+25</f>
        <v>105450</v>
      </c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spans="1:29" ht="14.25" customHeight="1">
      <c r="G42" s="8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ht="14.25" customHeight="1">
      <c r="G43" s="8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spans="1:29" ht="14.25" customHeight="1">
      <c r="G44" s="8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spans="1:29" ht="14.25" customHeight="1">
      <c r="G45" s="8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spans="1:29" ht="14.25" customHeight="1">
      <c r="A46" s="85" t="s">
        <v>92</v>
      </c>
      <c r="B46" s="86">
        <v>1600000</v>
      </c>
      <c r="C46" s="86"/>
      <c r="D46" s="87" t="s">
        <v>65</v>
      </c>
      <c r="E46" s="88" t="s">
        <v>66</v>
      </c>
      <c r="F46" s="89" t="s">
        <v>67</v>
      </c>
      <c r="G46" s="26" t="s">
        <v>68</v>
      </c>
      <c r="H46" s="90" t="s">
        <v>69</v>
      </c>
      <c r="I46" s="91" t="s">
        <v>70</v>
      </c>
      <c r="J46" s="91" t="s">
        <v>71</v>
      </c>
      <c r="K46" s="88" t="s">
        <v>72</v>
      </c>
      <c r="L46" s="91" t="s">
        <v>73</v>
      </c>
      <c r="M46" s="88" t="s">
        <v>74</v>
      </c>
      <c r="N46" s="91" t="s">
        <v>75</v>
      </c>
      <c r="O46" s="92" t="s">
        <v>76</v>
      </c>
      <c r="P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spans="1:29" ht="14.25" customHeight="1">
      <c r="A47" s="93" t="s">
        <v>78</v>
      </c>
      <c r="B47" s="94">
        <v>1420000</v>
      </c>
      <c r="C47" s="95">
        <f>B47/12</f>
        <v>118333.33333333333</v>
      </c>
      <c r="D47" s="96">
        <v>118333.3333</v>
      </c>
      <c r="E47" s="96">
        <v>118333.3333</v>
      </c>
      <c r="F47" s="96">
        <v>118333.3333</v>
      </c>
      <c r="G47" s="97">
        <v>118333.3333</v>
      </c>
      <c r="H47" s="96">
        <v>118333.3333</v>
      </c>
      <c r="I47" s="96">
        <v>118333.3333</v>
      </c>
      <c r="J47" s="96">
        <v>118333.3333</v>
      </c>
      <c r="K47" s="96">
        <v>118333.3333</v>
      </c>
      <c r="L47" s="96">
        <v>118333.3333</v>
      </c>
      <c r="M47" s="96">
        <v>118333.3333</v>
      </c>
      <c r="N47" s="96">
        <v>118333.3333</v>
      </c>
      <c r="O47" s="96">
        <v>118333.3333</v>
      </c>
      <c r="P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spans="1:29" ht="14.25" customHeight="1">
      <c r="A48" s="98" t="s">
        <v>91</v>
      </c>
      <c r="B48" s="99">
        <v>180000</v>
      </c>
      <c r="C48" s="99">
        <f>D47+D48</f>
        <v>133333.3333</v>
      </c>
      <c r="D48" s="100">
        <v>15000</v>
      </c>
      <c r="E48" s="100">
        <v>15000</v>
      </c>
      <c r="F48" s="100">
        <v>15000</v>
      </c>
      <c r="G48" s="100">
        <v>15000</v>
      </c>
      <c r="H48" s="100">
        <v>15000</v>
      </c>
      <c r="I48" s="100">
        <v>15000</v>
      </c>
      <c r="J48" s="100">
        <v>15000</v>
      </c>
      <c r="K48" s="100">
        <v>15000</v>
      </c>
      <c r="L48" s="100">
        <v>15000</v>
      </c>
      <c r="M48" s="100">
        <v>15000</v>
      </c>
      <c r="N48" s="100">
        <v>15000</v>
      </c>
      <c r="O48" s="100">
        <v>15000</v>
      </c>
      <c r="P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</row>
    <row r="49" spans="1:29" ht="14.25" customHeight="1">
      <c r="A49" s="93" t="s">
        <v>89</v>
      </c>
      <c r="B49" s="101">
        <f t="shared" ref="B49:B50" si="14">D49*12</f>
        <v>23400</v>
      </c>
      <c r="C49" s="101"/>
      <c r="D49" s="102">
        <v>1950</v>
      </c>
      <c r="E49" s="102">
        <v>1950</v>
      </c>
      <c r="F49" s="102">
        <v>1950</v>
      </c>
      <c r="G49" s="102">
        <v>1950</v>
      </c>
      <c r="H49" s="102">
        <v>1950</v>
      </c>
      <c r="I49" s="102">
        <v>1950</v>
      </c>
      <c r="J49" s="102">
        <v>1950</v>
      </c>
      <c r="K49" s="102">
        <v>1950</v>
      </c>
      <c r="L49" s="102">
        <v>1950</v>
      </c>
      <c r="M49" s="102">
        <v>1950</v>
      </c>
      <c r="N49" s="102">
        <v>1950</v>
      </c>
      <c r="O49" s="102">
        <v>1950</v>
      </c>
      <c r="P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 spans="1:29" ht="14.25" customHeight="1">
      <c r="A50" s="93" t="s">
        <v>81</v>
      </c>
      <c r="B50" s="101">
        <f t="shared" si="14"/>
        <v>2400</v>
      </c>
      <c r="C50" s="101"/>
      <c r="D50" s="102">
        <v>200</v>
      </c>
      <c r="E50" s="102">
        <v>200</v>
      </c>
      <c r="F50" s="102">
        <v>200</v>
      </c>
      <c r="G50" s="102">
        <v>200</v>
      </c>
      <c r="H50" s="102">
        <v>200</v>
      </c>
      <c r="I50" s="102">
        <v>200</v>
      </c>
      <c r="J50" s="102">
        <v>200</v>
      </c>
      <c r="K50" s="102">
        <v>200</v>
      </c>
      <c r="L50" s="102">
        <v>200</v>
      </c>
      <c r="M50" s="102">
        <v>200</v>
      </c>
      <c r="N50" s="102">
        <v>300</v>
      </c>
      <c r="O50" s="102">
        <v>200</v>
      </c>
      <c r="P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spans="1:29" ht="14.25" customHeight="1">
      <c r="A51" s="93" t="s">
        <v>82</v>
      </c>
      <c r="B51" s="101">
        <f>E51*11</f>
        <v>171600</v>
      </c>
      <c r="C51" s="101"/>
      <c r="D51" s="103">
        <v>15600</v>
      </c>
      <c r="E51" s="103">
        <v>15600</v>
      </c>
      <c r="F51" s="103">
        <v>15600</v>
      </c>
      <c r="G51" s="103">
        <v>15600</v>
      </c>
      <c r="H51" s="103">
        <v>15600</v>
      </c>
      <c r="I51" s="103">
        <v>15600</v>
      </c>
      <c r="J51" s="103">
        <v>15600</v>
      </c>
      <c r="K51" s="103">
        <v>15600</v>
      </c>
      <c r="L51" s="103">
        <v>15600</v>
      </c>
      <c r="M51" s="103">
        <v>15600</v>
      </c>
      <c r="N51" s="103">
        <v>15600</v>
      </c>
      <c r="O51" s="103">
        <v>15600</v>
      </c>
      <c r="P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spans="1:29" ht="14.25" customHeight="1">
      <c r="A52" s="93" t="s">
        <v>83</v>
      </c>
      <c r="B52" s="101">
        <f>D52*12</f>
        <v>21600</v>
      </c>
      <c r="C52" s="101"/>
      <c r="D52" s="102">
        <v>1800</v>
      </c>
      <c r="E52" s="102">
        <v>1800</v>
      </c>
      <c r="F52" s="102">
        <v>1800</v>
      </c>
      <c r="G52" s="102">
        <v>1800</v>
      </c>
      <c r="H52" s="102">
        <v>1800</v>
      </c>
      <c r="I52" s="102">
        <v>1800</v>
      </c>
      <c r="J52" s="102">
        <v>1800</v>
      </c>
      <c r="K52" s="102">
        <v>1800</v>
      </c>
      <c r="L52" s="102">
        <v>1800</v>
      </c>
      <c r="M52" s="102">
        <v>1800</v>
      </c>
      <c r="N52" s="102">
        <v>1800</v>
      </c>
      <c r="O52" s="102">
        <v>1800</v>
      </c>
      <c r="P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spans="1:29" ht="14.25" customHeight="1">
      <c r="A53" s="93" t="s">
        <v>84</v>
      </c>
      <c r="B53" s="101"/>
      <c r="C53" s="101"/>
      <c r="D53" s="102">
        <v>0</v>
      </c>
      <c r="E53" s="102">
        <v>0</v>
      </c>
      <c r="F53" s="102">
        <v>0</v>
      </c>
      <c r="G53" s="102">
        <v>0</v>
      </c>
      <c r="H53" s="102">
        <v>0</v>
      </c>
      <c r="I53" s="102">
        <v>0</v>
      </c>
      <c r="J53" s="102">
        <v>0</v>
      </c>
      <c r="K53" s="102">
        <v>0</v>
      </c>
      <c r="L53" s="102">
        <v>0</v>
      </c>
      <c r="M53" s="102">
        <v>0</v>
      </c>
      <c r="N53" s="102">
        <v>0</v>
      </c>
      <c r="O53" s="102">
        <v>0</v>
      </c>
      <c r="P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spans="1:29" ht="14.25" customHeight="1">
      <c r="A54" s="93"/>
      <c r="B54" s="104">
        <f>B47+B48</f>
        <v>1600000</v>
      </c>
      <c r="C54" s="101"/>
      <c r="D54" s="96">
        <v>133333.3333</v>
      </c>
      <c r="E54" s="96">
        <v>133333.3333</v>
      </c>
      <c r="F54" s="96">
        <v>133333.3333</v>
      </c>
      <c r="G54" s="96">
        <v>133333.3333</v>
      </c>
      <c r="H54" s="96">
        <v>133333.3333</v>
      </c>
      <c r="I54" s="96">
        <v>133333.3333</v>
      </c>
      <c r="J54" s="96">
        <v>133333.3333</v>
      </c>
      <c r="K54" s="96">
        <v>133333.3333</v>
      </c>
      <c r="L54" s="96">
        <v>133333.3333</v>
      </c>
      <c r="M54" s="96">
        <v>133333.3333</v>
      </c>
      <c r="N54" s="96">
        <v>133333.3333</v>
      </c>
      <c r="O54" s="96">
        <v>133333.3333</v>
      </c>
      <c r="P54" s="105">
        <f t="shared" ref="P54:P56" si="15">SUM(D54:O54)</f>
        <v>1599999.9996000004</v>
      </c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 ht="14.25" customHeight="1">
      <c r="A55" s="106" t="s">
        <v>85</v>
      </c>
      <c r="B55" s="107">
        <f>SUM(B49:B53)</f>
        <v>219000</v>
      </c>
      <c r="C55" s="107"/>
      <c r="D55" s="108">
        <f t="shared" ref="D55:M55" si="16">D49+D50+D51+D52</f>
        <v>19550</v>
      </c>
      <c r="E55" s="108">
        <f t="shared" si="16"/>
        <v>19550</v>
      </c>
      <c r="F55" s="108">
        <f t="shared" si="16"/>
        <v>19550</v>
      </c>
      <c r="G55" s="108">
        <f t="shared" si="16"/>
        <v>19550</v>
      </c>
      <c r="H55" s="108">
        <f t="shared" si="16"/>
        <v>19550</v>
      </c>
      <c r="I55" s="108">
        <f t="shared" si="16"/>
        <v>19550</v>
      </c>
      <c r="J55" s="108">
        <f t="shared" si="16"/>
        <v>19550</v>
      </c>
      <c r="K55" s="108">
        <f t="shared" si="16"/>
        <v>19550</v>
      </c>
      <c r="L55" s="108">
        <f t="shared" si="16"/>
        <v>19550</v>
      </c>
      <c r="M55" s="108">
        <f t="shared" si="16"/>
        <v>19550</v>
      </c>
      <c r="N55" s="108">
        <f>N49+N50+N51+N52+N53</f>
        <v>19650</v>
      </c>
      <c r="O55" s="108">
        <f>O49+O50+O51+O52</f>
        <v>19550</v>
      </c>
      <c r="P55" s="109">
        <f t="shared" si="15"/>
        <v>234700</v>
      </c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spans="1:29" ht="14.25" customHeight="1">
      <c r="A56" s="110" t="s">
        <v>86</v>
      </c>
      <c r="B56" s="111">
        <f>B54-B55</f>
        <v>1381000</v>
      </c>
      <c r="C56" s="110"/>
      <c r="D56" s="81">
        <f t="shared" ref="D56:O56" si="17">D54-D55</f>
        <v>113783.3333</v>
      </c>
      <c r="E56" s="81">
        <f t="shared" si="17"/>
        <v>113783.3333</v>
      </c>
      <c r="F56" s="81">
        <f t="shared" si="17"/>
        <v>113783.3333</v>
      </c>
      <c r="G56" s="81">
        <f t="shared" si="17"/>
        <v>113783.3333</v>
      </c>
      <c r="H56" s="81">
        <f t="shared" si="17"/>
        <v>113783.3333</v>
      </c>
      <c r="I56" s="81">
        <f t="shared" si="17"/>
        <v>113783.3333</v>
      </c>
      <c r="J56" s="81">
        <f t="shared" si="17"/>
        <v>113783.3333</v>
      </c>
      <c r="K56" s="81">
        <f t="shared" si="17"/>
        <v>113783.3333</v>
      </c>
      <c r="L56" s="81">
        <f t="shared" si="17"/>
        <v>113783.3333</v>
      </c>
      <c r="M56" s="81">
        <f t="shared" si="17"/>
        <v>113783.3333</v>
      </c>
      <c r="N56" s="81">
        <f t="shared" si="17"/>
        <v>113683.3333</v>
      </c>
      <c r="O56" s="81">
        <f t="shared" si="17"/>
        <v>113783.3333</v>
      </c>
      <c r="P56" s="65">
        <f t="shared" si="15"/>
        <v>1365299.9996000004</v>
      </c>
      <c r="Q56" s="112"/>
      <c r="R56" s="112"/>
      <c r="S56" s="112"/>
      <c r="T56" s="66"/>
      <c r="U56" s="66"/>
      <c r="V56" s="66"/>
      <c r="W56" s="66"/>
      <c r="X56" s="66"/>
      <c r="Y56" s="66"/>
      <c r="Z56" s="66"/>
      <c r="AA56" s="66"/>
      <c r="AB56" s="66"/>
      <c r="AC56" s="66"/>
    </row>
    <row r="57" spans="1:29" ht="14.25" customHeight="1">
      <c r="A57" s="69" t="s">
        <v>93</v>
      </c>
      <c r="B57" s="113">
        <v>1888000</v>
      </c>
      <c r="C57" s="68"/>
      <c r="D57" s="114" t="s">
        <v>65</v>
      </c>
      <c r="E57" s="115" t="s">
        <v>66</v>
      </c>
      <c r="F57" s="115" t="s">
        <v>67</v>
      </c>
      <c r="G57" s="116" t="s">
        <v>68</v>
      </c>
      <c r="H57" s="114" t="s">
        <v>69</v>
      </c>
      <c r="I57" s="114" t="s">
        <v>70</v>
      </c>
      <c r="J57" s="114" t="s">
        <v>71</v>
      </c>
      <c r="K57" s="115" t="s">
        <v>72</v>
      </c>
      <c r="L57" s="114" t="s">
        <v>73</v>
      </c>
      <c r="M57" s="115" t="s">
        <v>74</v>
      </c>
      <c r="N57" s="114" t="s">
        <v>75</v>
      </c>
      <c r="O57" s="117" t="s">
        <v>76</v>
      </c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spans="1:29" ht="14.25" customHeight="1">
      <c r="A58" s="31" t="s">
        <v>78</v>
      </c>
      <c r="B58" s="118">
        <v>1648000</v>
      </c>
      <c r="C58" s="68">
        <f t="shared" ref="C58:C59" si="18">B58/12</f>
        <v>137333.33333333334</v>
      </c>
      <c r="D58" s="119">
        <v>118333.3333</v>
      </c>
      <c r="E58" s="119">
        <v>118333.3333</v>
      </c>
      <c r="F58" s="119">
        <v>137333</v>
      </c>
      <c r="G58" s="119">
        <v>137333</v>
      </c>
      <c r="H58" s="119">
        <v>137333</v>
      </c>
      <c r="I58" s="119">
        <v>137333</v>
      </c>
      <c r="J58" s="119">
        <v>137333</v>
      </c>
      <c r="K58" s="119">
        <v>137333</v>
      </c>
      <c r="L58" s="119">
        <v>137333</v>
      </c>
      <c r="M58" s="119">
        <v>137333</v>
      </c>
      <c r="N58" s="119">
        <v>137333</v>
      </c>
      <c r="O58" s="120">
        <v>137333</v>
      </c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spans="1:29" ht="14.25" customHeight="1">
      <c r="A59" s="73" t="s">
        <v>79</v>
      </c>
      <c r="B59" s="118">
        <v>240000</v>
      </c>
      <c r="C59" s="68">
        <f t="shared" si="18"/>
        <v>20000</v>
      </c>
      <c r="D59" s="121">
        <v>15000</v>
      </c>
      <c r="E59" s="121">
        <v>15000</v>
      </c>
      <c r="F59" s="122">
        <v>20000</v>
      </c>
      <c r="G59" s="122">
        <v>20000</v>
      </c>
      <c r="H59" s="122">
        <v>20000</v>
      </c>
      <c r="I59" s="122">
        <v>20000</v>
      </c>
      <c r="J59" s="122">
        <v>20000</v>
      </c>
      <c r="K59" s="122">
        <v>20000</v>
      </c>
      <c r="L59" s="122">
        <v>20000</v>
      </c>
      <c r="M59" s="122">
        <v>20000</v>
      </c>
      <c r="N59" s="122">
        <v>20000</v>
      </c>
      <c r="O59" s="123">
        <v>20000</v>
      </c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spans="1:29" ht="14.25" customHeight="1">
      <c r="A60" s="31" t="s">
        <v>89</v>
      </c>
      <c r="B60" s="68">
        <f>B57/12</f>
        <v>157333.33333333334</v>
      </c>
      <c r="C60" s="68">
        <f>C58+C59</f>
        <v>157333.33333333334</v>
      </c>
      <c r="D60" s="124">
        <v>1950</v>
      </c>
      <c r="E60" s="124">
        <v>1950</v>
      </c>
      <c r="F60" s="124">
        <v>1950</v>
      </c>
      <c r="G60" s="124">
        <v>1950</v>
      </c>
      <c r="H60" s="124">
        <v>1950</v>
      </c>
      <c r="I60" s="124">
        <v>1950</v>
      </c>
      <c r="J60" s="124">
        <v>1950</v>
      </c>
      <c r="K60" s="124">
        <v>1950</v>
      </c>
      <c r="L60" s="124">
        <v>1950</v>
      </c>
      <c r="M60" s="124">
        <v>1950</v>
      </c>
      <c r="N60" s="124">
        <v>1950</v>
      </c>
      <c r="O60" s="125">
        <v>1950</v>
      </c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spans="1:29" ht="14.25" customHeight="1">
      <c r="A61" s="31" t="s">
        <v>81</v>
      </c>
      <c r="B61" s="126">
        <v>157334</v>
      </c>
      <c r="C61" s="68"/>
      <c r="D61" s="124">
        <v>200</v>
      </c>
      <c r="E61" s="124">
        <v>200</v>
      </c>
      <c r="F61" s="124">
        <v>200</v>
      </c>
      <c r="G61" s="124">
        <v>200</v>
      </c>
      <c r="H61" s="124">
        <v>200</v>
      </c>
      <c r="I61" s="124">
        <v>200</v>
      </c>
      <c r="J61" s="124">
        <v>200</v>
      </c>
      <c r="K61" s="124">
        <v>200</v>
      </c>
      <c r="L61" s="124">
        <v>200</v>
      </c>
      <c r="M61" s="124">
        <v>200</v>
      </c>
      <c r="N61" s="124">
        <v>200</v>
      </c>
      <c r="O61" s="125">
        <v>200</v>
      </c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 spans="1:29" ht="14.25" customHeight="1">
      <c r="A62" s="31" t="s">
        <v>82</v>
      </c>
      <c r="B62" s="68"/>
      <c r="C62" s="68">
        <f t="shared" ref="C62:C64" si="19">B62/12</f>
        <v>0</v>
      </c>
      <c r="D62" s="124">
        <v>9425</v>
      </c>
      <c r="E62" s="124">
        <v>9425</v>
      </c>
      <c r="F62" s="124">
        <v>14027</v>
      </c>
      <c r="G62" s="124">
        <v>14027</v>
      </c>
      <c r="H62" s="124">
        <v>14027</v>
      </c>
      <c r="I62" s="124">
        <v>14027</v>
      </c>
      <c r="J62" s="124">
        <v>14027</v>
      </c>
      <c r="K62" s="124">
        <v>14027</v>
      </c>
      <c r="L62" s="124">
        <v>14027</v>
      </c>
      <c r="M62" s="124">
        <v>14027</v>
      </c>
      <c r="N62" s="124">
        <v>14027</v>
      </c>
      <c r="O62" s="124">
        <v>14027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spans="1:29" ht="14.25" customHeight="1">
      <c r="A63" s="31" t="s">
        <v>83</v>
      </c>
      <c r="B63" s="68"/>
      <c r="C63" s="68">
        <f t="shared" si="19"/>
        <v>0</v>
      </c>
      <c r="D63" s="124">
        <v>1800</v>
      </c>
      <c r="E63" s="124">
        <v>1800</v>
      </c>
      <c r="F63" s="124">
        <v>1800</v>
      </c>
      <c r="G63" s="124">
        <v>1800</v>
      </c>
      <c r="H63" s="124">
        <v>1800</v>
      </c>
      <c r="I63" s="124">
        <v>1800</v>
      </c>
      <c r="J63" s="124">
        <v>1800</v>
      </c>
      <c r="K63" s="124">
        <v>1800</v>
      </c>
      <c r="L63" s="124">
        <v>1800</v>
      </c>
      <c r="M63" s="124">
        <v>1800</v>
      </c>
      <c r="N63" s="124">
        <v>1800</v>
      </c>
      <c r="O63" s="127">
        <v>1800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spans="1:29" ht="14.25" customHeight="1">
      <c r="A64" s="31" t="s">
        <v>84</v>
      </c>
      <c r="B64" s="68"/>
      <c r="C64" s="68">
        <f t="shared" si="19"/>
        <v>0</v>
      </c>
      <c r="D64" s="128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67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spans="1:29" ht="14.25" customHeight="1">
      <c r="A65" s="31"/>
      <c r="B65" s="68"/>
      <c r="C65" s="68"/>
      <c r="D65" s="119">
        <v>133333.3333</v>
      </c>
      <c r="E65" s="130">
        <v>133333.3333</v>
      </c>
      <c r="F65" s="130">
        <f t="shared" ref="F65:O65" si="20">F58+F59</f>
        <v>157333</v>
      </c>
      <c r="G65" s="130">
        <f t="shared" si="20"/>
        <v>157333</v>
      </c>
      <c r="H65" s="130">
        <f t="shared" si="20"/>
        <v>157333</v>
      </c>
      <c r="I65" s="130">
        <f t="shared" si="20"/>
        <v>157333</v>
      </c>
      <c r="J65" s="130">
        <f t="shared" si="20"/>
        <v>157333</v>
      </c>
      <c r="K65" s="130">
        <f t="shared" si="20"/>
        <v>157333</v>
      </c>
      <c r="L65" s="130">
        <f t="shared" si="20"/>
        <v>157333</v>
      </c>
      <c r="M65" s="130">
        <f t="shared" si="20"/>
        <v>157333</v>
      </c>
      <c r="N65" s="130">
        <f t="shared" si="20"/>
        <v>157333</v>
      </c>
      <c r="O65" s="131">
        <f t="shared" si="20"/>
        <v>157333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spans="1:29" ht="14.25" customHeight="1">
      <c r="A66" s="31" t="s">
        <v>85</v>
      </c>
      <c r="B66" s="68"/>
      <c r="C66" s="68"/>
      <c r="D66" s="132">
        <f t="shared" ref="D66:O66" si="21">SUM(D60:D63)</f>
        <v>13375</v>
      </c>
      <c r="E66" s="132">
        <f t="shared" si="21"/>
        <v>13375</v>
      </c>
      <c r="F66" s="132">
        <f t="shared" si="21"/>
        <v>17977</v>
      </c>
      <c r="G66" s="132">
        <f t="shared" si="21"/>
        <v>17977</v>
      </c>
      <c r="H66" s="132">
        <f t="shared" si="21"/>
        <v>17977</v>
      </c>
      <c r="I66" s="132">
        <f t="shared" si="21"/>
        <v>17977</v>
      </c>
      <c r="J66" s="132">
        <f t="shared" si="21"/>
        <v>17977</v>
      </c>
      <c r="K66" s="132">
        <f t="shared" si="21"/>
        <v>17977</v>
      </c>
      <c r="L66" s="132">
        <f t="shared" si="21"/>
        <v>17977</v>
      </c>
      <c r="M66" s="132">
        <f t="shared" si="21"/>
        <v>17977</v>
      </c>
      <c r="N66" s="132">
        <f t="shared" si="21"/>
        <v>17977</v>
      </c>
      <c r="O66" s="132">
        <f t="shared" si="21"/>
        <v>17977</v>
      </c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spans="1:29" ht="14.25" customHeight="1">
      <c r="A67" s="31" t="s">
        <v>86</v>
      </c>
      <c r="B67" s="68"/>
      <c r="C67" s="68"/>
      <c r="D67" s="42">
        <f t="shared" ref="D67:O67" si="22">D65-D66</f>
        <v>119958.3333</v>
      </c>
      <c r="E67" s="42">
        <f t="shared" si="22"/>
        <v>119958.3333</v>
      </c>
      <c r="F67" s="42">
        <f t="shared" si="22"/>
        <v>139356</v>
      </c>
      <c r="G67" s="42">
        <f t="shared" si="22"/>
        <v>139356</v>
      </c>
      <c r="H67" s="42">
        <f t="shared" si="22"/>
        <v>139356</v>
      </c>
      <c r="I67" s="42">
        <f t="shared" si="22"/>
        <v>139356</v>
      </c>
      <c r="J67" s="42">
        <f t="shared" si="22"/>
        <v>139356</v>
      </c>
      <c r="K67" s="42">
        <f t="shared" si="22"/>
        <v>139356</v>
      </c>
      <c r="L67" s="42">
        <f t="shared" si="22"/>
        <v>139356</v>
      </c>
      <c r="M67" s="42">
        <f t="shared" si="22"/>
        <v>139356</v>
      </c>
      <c r="N67" s="42">
        <f t="shared" si="22"/>
        <v>139356</v>
      </c>
      <c r="O67" s="42">
        <f t="shared" si="22"/>
        <v>139356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spans="1:29" ht="14.25" customHeight="1">
      <c r="A68" s="23"/>
      <c r="B68" s="23"/>
      <c r="C68" s="23"/>
      <c r="D68" s="23"/>
      <c r="E68" s="23"/>
      <c r="F68" s="23"/>
      <c r="G68" s="23"/>
      <c r="H68" s="23">
        <f>H67+25</f>
        <v>139381</v>
      </c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spans="1:29" ht="14.2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spans="1:29" ht="14.2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spans="1:29" ht="14.25" customHeight="1">
      <c r="A71" s="133" t="s">
        <v>94</v>
      </c>
      <c r="B71" s="134">
        <v>570000</v>
      </c>
      <c r="C71" s="134"/>
      <c r="D71" s="135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spans="1:29" ht="14.25" customHeight="1">
      <c r="A72" s="136"/>
      <c r="B72" s="137"/>
      <c r="C72" s="137"/>
      <c r="D72" s="87" t="s">
        <v>65</v>
      </c>
      <c r="E72" s="88" t="s">
        <v>66</v>
      </c>
      <c r="F72" s="88" t="s">
        <v>67</v>
      </c>
      <c r="G72" s="91" t="s">
        <v>68</v>
      </c>
      <c r="H72" s="91" t="s">
        <v>69</v>
      </c>
      <c r="I72" s="91" t="s">
        <v>70</v>
      </c>
      <c r="J72" s="91" t="s">
        <v>71</v>
      </c>
      <c r="K72" s="88" t="s">
        <v>72</v>
      </c>
      <c r="L72" s="91" t="s">
        <v>73</v>
      </c>
      <c r="M72" s="88" t="s">
        <v>74</v>
      </c>
      <c r="N72" s="91" t="s">
        <v>75</v>
      </c>
      <c r="O72" s="92" t="s">
        <v>76</v>
      </c>
      <c r="P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spans="1:29" ht="14.25" customHeight="1">
      <c r="A73" s="93" t="s">
        <v>78</v>
      </c>
      <c r="B73" s="94">
        <v>510000</v>
      </c>
      <c r="C73" s="95"/>
      <c r="D73" s="96">
        <v>42500</v>
      </c>
      <c r="E73" s="96">
        <v>42500</v>
      </c>
      <c r="F73" s="96">
        <v>42500</v>
      </c>
      <c r="G73" s="96">
        <v>42500</v>
      </c>
      <c r="H73" s="96">
        <v>42500</v>
      </c>
      <c r="I73" s="96">
        <v>42500</v>
      </c>
      <c r="J73" s="96">
        <v>42500</v>
      </c>
      <c r="K73" s="96">
        <v>42500</v>
      </c>
      <c r="L73" s="96">
        <v>42500</v>
      </c>
      <c r="M73" s="96">
        <v>42500</v>
      </c>
      <c r="N73" s="96">
        <v>42500</v>
      </c>
      <c r="O73" s="96">
        <v>42500</v>
      </c>
      <c r="P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spans="1:29" ht="14.25" customHeight="1">
      <c r="A74" s="98" t="s">
        <v>95</v>
      </c>
      <c r="B74" s="99">
        <v>60000</v>
      </c>
      <c r="C74" s="99"/>
      <c r="D74" s="100">
        <v>0</v>
      </c>
      <c r="E74" s="100">
        <v>0</v>
      </c>
      <c r="F74" s="100">
        <v>30000</v>
      </c>
      <c r="G74" s="100">
        <v>0</v>
      </c>
      <c r="H74" s="100">
        <v>0</v>
      </c>
      <c r="I74" s="100">
        <v>0</v>
      </c>
      <c r="J74" s="100">
        <v>0</v>
      </c>
      <c r="K74" s="100">
        <v>0</v>
      </c>
      <c r="L74" s="100">
        <v>30000</v>
      </c>
      <c r="M74" s="138">
        <v>5000</v>
      </c>
      <c r="N74" s="138">
        <v>5000</v>
      </c>
      <c r="O74" s="138">
        <v>5000</v>
      </c>
      <c r="P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</row>
    <row r="75" spans="1:29" ht="14.25" customHeight="1">
      <c r="A75" s="93" t="s">
        <v>89</v>
      </c>
      <c r="B75" s="101">
        <f t="shared" ref="B75:B76" si="23">D75*12</f>
        <v>23400</v>
      </c>
      <c r="C75" s="101"/>
      <c r="D75" s="102">
        <v>1950</v>
      </c>
      <c r="E75" s="102">
        <v>1950</v>
      </c>
      <c r="F75" s="102">
        <v>1950</v>
      </c>
      <c r="G75" s="102">
        <v>1950</v>
      </c>
      <c r="H75" s="102">
        <v>1950</v>
      </c>
      <c r="I75" s="102">
        <v>1950</v>
      </c>
      <c r="J75" s="102">
        <v>1950</v>
      </c>
      <c r="K75" s="102">
        <v>1950</v>
      </c>
      <c r="L75" s="102">
        <v>1950</v>
      </c>
      <c r="M75" s="102">
        <v>1950</v>
      </c>
      <c r="N75" s="102">
        <v>1950</v>
      </c>
      <c r="O75" s="102">
        <v>1950</v>
      </c>
      <c r="P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 spans="1:29" ht="14.25" customHeight="1">
      <c r="A76" s="93" t="s">
        <v>81</v>
      </c>
      <c r="B76" s="101">
        <f t="shared" si="23"/>
        <v>2400</v>
      </c>
      <c r="C76" s="101"/>
      <c r="D76" s="102">
        <v>200</v>
      </c>
      <c r="E76" s="102">
        <v>200</v>
      </c>
      <c r="F76" s="102">
        <v>200</v>
      </c>
      <c r="G76" s="102">
        <v>200</v>
      </c>
      <c r="H76" s="102">
        <v>200</v>
      </c>
      <c r="I76" s="102">
        <v>200</v>
      </c>
      <c r="J76" s="102">
        <v>200</v>
      </c>
      <c r="K76" s="102">
        <v>200</v>
      </c>
      <c r="L76" s="102">
        <v>200</v>
      </c>
      <c r="M76" s="102">
        <v>200</v>
      </c>
      <c r="N76" s="102">
        <v>300</v>
      </c>
      <c r="O76" s="102">
        <v>200</v>
      </c>
      <c r="P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spans="1:29" ht="14.25" customHeight="1">
      <c r="A77" s="93" t="s">
        <v>82</v>
      </c>
      <c r="B77" s="101">
        <v>0</v>
      </c>
      <c r="C77" s="101"/>
      <c r="D77" s="139">
        <v>0</v>
      </c>
      <c r="E77" s="139">
        <v>0</v>
      </c>
      <c r="F77" s="139">
        <v>0</v>
      </c>
      <c r="G77" s="139">
        <v>0</v>
      </c>
      <c r="H77" s="139">
        <v>0</v>
      </c>
      <c r="I77" s="139">
        <v>0</v>
      </c>
      <c r="J77" s="139">
        <v>0</v>
      </c>
      <c r="K77" s="139">
        <v>0</v>
      </c>
      <c r="L77" s="139">
        <v>0</v>
      </c>
      <c r="M77" s="139">
        <v>0</v>
      </c>
      <c r="N77" s="139">
        <v>0</v>
      </c>
      <c r="O77" s="139">
        <v>0</v>
      </c>
      <c r="P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spans="1:29" ht="14.25" customHeight="1">
      <c r="A78" s="93" t="s">
        <v>83</v>
      </c>
      <c r="B78" s="101">
        <f>D78*12</f>
        <v>21600</v>
      </c>
      <c r="C78" s="101"/>
      <c r="D78" s="102">
        <v>1800</v>
      </c>
      <c r="E78" s="102">
        <v>1800</v>
      </c>
      <c r="F78" s="102">
        <v>1800</v>
      </c>
      <c r="G78" s="102">
        <v>1800</v>
      </c>
      <c r="H78" s="102">
        <v>1800</v>
      </c>
      <c r="I78" s="102">
        <v>1800</v>
      </c>
      <c r="J78" s="102">
        <v>1800</v>
      </c>
      <c r="K78" s="102">
        <v>1800</v>
      </c>
      <c r="L78" s="102">
        <v>1800</v>
      </c>
      <c r="M78" s="102">
        <v>1800</v>
      </c>
      <c r="N78" s="102">
        <v>1800</v>
      </c>
      <c r="O78" s="102">
        <v>1800</v>
      </c>
      <c r="P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spans="1:29" ht="14.25" customHeight="1">
      <c r="A79" s="93" t="s">
        <v>84</v>
      </c>
      <c r="B79" s="101"/>
      <c r="C79" s="101"/>
      <c r="D79" s="102">
        <v>0</v>
      </c>
      <c r="E79" s="102">
        <v>0</v>
      </c>
      <c r="F79" s="102">
        <v>0</v>
      </c>
      <c r="G79" s="102">
        <v>0</v>
      </c>
      <c r="H79" s="102">
        <v>0</v>
      </c>
      <c r="I79" s="102">
        <v>0</v>
      </c>
      <c r="J79" s="102">
        <v>0</v>
      </c>
      <c r="K79" s="102">
        <v>0</v>
      </c>
      <c r="L79" s="102">
        <v>0</v>
      </c>
      <c r="M79" s="102">
        <v>0</v>
      </c>
      <c r="N79" s="102">
        <v>0</v>
      </c>
      <c r="O79" s="102">
        <v>0</v>
      </c>
      <c r="P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spans="1:29" ht="14.25" customHeight="1">
      <c r="A80" s="93"/>
      <c r="B80" s="104">
        <f>B73+B74</f>
        <v>570000</v>
      </c>
      <c r="C80" s="101"/>
      <c r="D80" s="96">
        <v>42500</v>
      </c>
      <c r="E80" s="96">
        <v>42500</v>
      </c>
      <c r="F80" s="96">
        <v>42500</v>
      </c>
      <c r="G80" s="96">
        <v>42500</v>
      </c>
      <c r="H80" s="96">
        <v>42500</v>
      </c>
      <c r="I80" s="96">
        <v>42500</v>
      </c>
      <c r="J80" s="96">
        <v>42500</v>
      </c>
      <c r="K80" s="96">
        <v>42500</v>
      </c>
      <c r="L80" s="96">
        <v>42500</v>
      </c>
      <c r="M80" s="96">
        <f t="shared" ref="M80:O80" si="24">42500+M74</f>
        <v>47500</v>
      </c>
      <c r="N80" s="96">
        <f t="shared" si="24"/>
        <v>47500</v>
      </c>
      <c r="O80" s="96">
        <f t="shared" si="24"/>
        <v>47500</v>
      </c>
      <c r="P80" s="105">
        <f t="shared" ref="P80:P82" si="25">SUM(D80:O80)</f>
        <v>525000</v>
      </c>
      <c r="T80" s="23"/>
      <c r="U80" s="23"/>
      <c r="V80" s="23"/>
      <c r="W80" s="23"/>
      <c r="X80" s="23"/>
      <c r="Y80" s="23"/>
      <c r="Z80" s="23"/>
      <c r="AA80" s="23"/>
      <c r="AB80" s="23"/>
      <c r="AC80" s="23"/>
    </row>
    <row r="81" spans="1:29" ht="14.25" customHeight="1">
      <c r="A81" s="93" t="s">
        <v>85</v>
      </c>
      <c r="B81" s="101">
        <f>D81*12</f>
        <v>47400</v>
      </c>
      <c r="C81" s="101"/>
      <c r="D81" s="96">
        <v>3950</v>
      </c>
      <c r="E81" s="96">
        <v>3950</v>
      </c>
      <c r="F81" s="96">
        <v>3950</v>
      </c>
      <c r="G81" s="96">
        <v>3950</v>
      </c>
      <c r="H81" s="96">
        <v>3950</v>
      </c>
      <c r="I81" s="96">
        <v>3950</v>
      </c>
      <c r="J81" s="96">
        <v>3950</v>
      </c>
      <c r="K81" s="96">
        <v>3950</v>
      </c>
      <c r="L81" s="96">
        <v>3950</v>
      </c>
      <c r="M81" s="96">
        <v>3950</v>
      </c>
      <c r="N81" s="96">
        <f>N75+N76+N78</f>
        <v>4050</v>
      </c>
      <c r="O81" s="96">
        <v>3950</v>
      </c>
      <c r="P81" s="105">
        <f t="shared" si="25"/>
        <v>47500</v>
      </c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 spans="1:29" ht="14.25" customHeight="1">
      <c r="A82" s="93" t="s">
        <v>86</v>
      </c>
      <c r="B82" s="104">
        <f>B80-B81</f>
        <v>522600</v>
      </c>
      <c r="C82" s="101"/>
      <c r="D82" s="140">
        <v>38550</v>
      </c>
      <c r="E82" s="140">
        <v>38550</v>
      </c>
      <c r="F82" s="140">
        <f>F73+F74-F81</f>
        <v>68550</v>
      </c>
      <c r="G82" s="140">
        <v>38550</v>
      </c>
      <c r="H82" s="140">
        <v>38550</v>
      </c>
      <c r="I82" s="140">
        <v>38550</v>
      </c>
      <c r="J82" s="140">
        <v>38550</v>
      </c>
      <c r="K82" s="140">
        <v>38550</v>
      </c>
      <c r="L82" s="140">
        <f t="shared" ref="L82:O82" si="26">L73+L74-L81</f>
        <v>68550</v>
      </c>
      <c r="M82" s="140">
        <f t="shared" si="26"/>
        <v>43550</v>
      </c>
      <c r="N82" s="140">
        <f t="shared" si="26"/>
        <v>43450</v>
      </c>
      <c r="O82" s="140">
        <f t="shared" si="26"/>
        <v>43550</v>
      </c>
      <c r="P82" s="105">
        <f t="shared" si="25"/>
        <v>537500</v>
      </c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5" spans="1:29" ht="14.25" customHeight="1">
      <c r="A85" s="133" t="s">
        <v>96</v>
      </c>
      <c r="B85" s="141">
        <v>390000</v>
      </c>
      <c r="C85" s="134">
        <v>500000</v>
      </c>
      <c r="D85" s="134">
        <v>650000</v>
      </c>
      <c r="E85" s="134"/>
      <c r="F85" s="13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</row>
    <row r="86" spans="1:29" ht="14.25" customHeight="1">
      <c r="A86" s="136"/>
      <c r="C86" s="137"/>
      <c r="D86" s="137"/>
      <c r="E86" s="137"/>
      <c r="F86" s="87" t="s">
        <v>65</v>
      </c>
      <c r="G86" s="88" t="s">
        <v>66</v>
      </c>
      <c r="H86" s="88" t="s">
        <v>67</v>
      </c>
      <c r="I86" s="91" t="s">
        <v>68</v>
      </c>
      <c r="J86" s="91" t="s">
        <v>69</v>
      </c>
      <c r="K86" s="91" t="s">
        <v>70</v>
      </c>
      <c r="L86" s="91" t="s">
        <v>71</v>
      </c>
      <c r="M86" s="88" t="s">
        <v>72</v>
      </c>
      <c r="N86" s="91" t="s">
        <v>73</v>
      </c>
      <c r="O86" s="88" t="s">
        <v>74</v>
      </c>
      <c r="P86" s="91" t="s">
        <v>75</v>
      </c>
      <c r="Q86" s="92" t="s">
        <v>76</v>
      </c>
      <c r="R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spans="1:29" ht="14.25" customHeight="1">
      <c r="A87" s="93" t="s">
        <v>78</v>
      </c>
      <c r="C87" s="142">
        <f>36666.66*12</f>
        <v>439999.92000000004</v>
      </c>
      <c r="D87" s="142">
        <v>550000</v>
      </c>
      <c r="E87" s="143"/>
      <c r="F87" s="96">
        <v>45833.333330000001</v>
      </c>
      <c r="G87" s="96">
        <v>45833.333330000001</v>
      </c>
      <c r="H87" s="96">
        <v>45833.333330000001</v>
      </c>
      <c r="I87" s="96">
        <v>45833.333330000001</v>
      </c>
      <c r="J87" s="96">
        <v>45833.333330000001</v>
      </c>
      <c r="K87" s="96">
        <v>45833.333330000001</v>
      </c>
      <c r="L87" s="96">
        <v>45833.333330000001</v>
      </c>
      <c r="M87" s="96">
        <v>45833.333330000001</v>
      </c>
      <c r="N87" s="96">
        <v>45833.333330000001</v>
      </c>
      <c r="O87" s="96">
        <v>45833.333330000001</v>
      </c>
      <c r="P87" s="96">
        <v>45833.333330000001</v>
      </c>
      <c r="Q87" s="96">
        <v>45833.333330000001</v>
      </c>
      <c r="R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</row>
    <row r="88" spans="1:29" ht="14.25" customHeight="1">
      <c r="A88" s="98" t="s">
        <v>97</v>
      </c>
      <c r="C88" s="99">
        <f>5000*12</f>
        <v>60000</v>
      </c>
      <c r="D88" s="99">
        <v>100000</v>
      </c>
      <c r="E88" s="99">
        <f>D88/2/3</f>
        <v>16666.666666666668</v>
      </c>
      <c r="F88" s="100">
        <v>0</v>
      </c>
      <c r="G88" s="100">
        <v>0</v>
      </c>
      <c r="H88" s="100">
        <v>50000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50000</v>
      </c>
      <c r="O88" s="100">
        <v>0</v>
      </c>
      <c r="P88" s="100">
        <v>0</v>
      </c>
      <c r="Q88" s="100">
        <v>0</v>
      </c>
      <c r="R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</row>
    <row r="89" spans="1:29" ht="14.25" customHeight="1">
      <c r="A89" s="93" t="s">
        <v>89</v>
      </c>
      <c r="C89" s="101"/>
      <c r="D89" s="101">
        <f t="shared" ref="D89:D90" si="27">F89*12</f>
        <v>23400</v>
      </c>
      <c r="E89" s="101"/>
      <c r="F89" s="102">
        <v>1950</v>
      </c>
      <c r="G89" s="102">
        <v>1950</v>
      </c>
      <c r="H89" s="102">
        <v>1950</v>
      </c>
      <c r="I89" s="102">
        <v>1950</v>
      </c>
      <c r="J89" s="102">
        <v>1950</v>
      </c>
      <c r="K89" s="102">
        <v>1950</v>
      </c>
      <c r="L89" s="102">
        <v>1950</v>
      </c>
      <c r="M89" s="102">
        <v>1950</v>
      </c>
      <c r="N89" s="102">
        <v>1950</v>
      </c>
      <c r="O89" s="102">
        <v>1950</v>
      </c>
      <c r="P89" s="102">
        <v>1950</v>
      </c>
      <c r="Q89" s="102">
        <v>1950</v>
      </c>
      <c r="R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</row>
    <row r="90" spans="1:29" ht="14.25" customHeight="1">
      <c r="A90" s="93" t="s">
        <v>81</v>
      </c>
      <c r="C90" s="101"/>
      <c r="D90" s="101">
        <f t="shared" si="27"/>
        <v>2400</v>
      </c>
      <c r="E90" s="101"/>
      <c r="F90" s="102">
        <v>200</v>
      </c>
      <c r="G90" s="102">
        <v>200</v>
      </c>
      <c r="H90" s="102">
        <v>200</v>
      </c>
      <c r="I90" s="102">
        <v>200</v>
      </c>
      <c r="J90" s="102">
        <v>200</v>
      </c>
      <c r="K90" s="102">
        <v>200</v>
      </c>
      <c r="L90" s="102">
        <v>200</v>
      </c>
      <c r="M90" s="102">
        <v>200</v>
      </c>
      <c r="N90" s="102">
        <v>200</v>
      </c>
      <c r="O90" s="102">
        <v>200</v>
      </c>
      <c r="P90" s="102">
        <v>300</v>
      </c>
      <c r="Q90" s="102">
        <v>200</v>
      </c>
      <c r="R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</row>
    <row r="91" spans="1:29" ht="14.25" customHeight="1">
      <c r="A91" s="93" t="s">
        <v>82</v>
      </c>
      <c r="C91" s="101"/>
      <c r="D91" s="101">
        <v>0</v>
      </c>
      <c r="E91" s="101"/>
      <c r="F91" s="139">
        <v>0</v>
      </c>
      <c r="G91" s="139">
        <v>0</v>
      </c>
      <c r="H91" s="139">
        <v>0</v>
      </c>
      <c r="I91" s="139">
        <v>0</v>
      </c>
      <c r="J91" s="139">
        <v>0</v>
      </c>
      <c r="K91" s="139">
        <v>0</v>
      </c>
      <c r="L91" s="139">
        <v>0</v>
      </c>
      <c r="M91" s="139">
        <v>0</v>
      </c>
      <c r="N91" s="139">
        <v>0</v>
      </c>
      <c r="O91" s="139">
        <v>0</v>
      </c>
      <c r="P91" s="139">
        <v>0</v>
      </c>
      <c r="Q91" s="139">
        <v>0</v>
      </c>
      <c r="R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 spans="1:29" ht="14.25" customHeight="1">
      <c r="A92" s="93" t="s">
        <v>83</v>
      </c>
      <c r="C92" s="101"/>
      <c r="D92" s="101">
        <f>F92*12</f>
        <v>21600</v>
      </c>
      <c r="E92" s="101"/>
      <c r="F92" s="102">
        <v>1800</v>
      </c>
      <c r="G92" s="102">
        <v>1800</v>
      </c>
      <c r="H92" s="102">
        <v>1800</v>
      </c>
      <c r="I92" s="102">
        <v>1800</v>
      </c>
      <c r="J92" s="102">
        <v>1800</v>
      </c>
      <c r="K92" s="102">
        <v>1800</v>
      </c>
      <c r="L92" s="102">
        <v>1800</v>
      </c>
      <c r="M92" s="102">
        <v>1800</v>
      </c>
      <c r="N92" s="102">
        <v>1800</v>
      </c>
      <c r="O92" s="102">
        <v>1800</v>
      </c>
      <c r="P92" s="102">
        <v>1800</v>
      </c>
      <c r="Q92" s="102">
        <v>1800</v>
      </c>
      <c r="R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 spans="1:29" ht="14.25" customHeight="1">
      <c r="A93" s="93" t="s">
        <v>84</v>
      </c>
      <c r="C93" s="101"/>
      <c r="D93" s="101"/>
      <c r="E93" s="101"/>
      <c r="F93" s="102">
        <v>0</v>
      </c>
      <c r="G93" s="102">
        <v>0</v>
      </c>
      <c r="H93" s="102">
        <v>0</v>
      </c>
      <c r="I93" s="102">
        <v>0</v>
      </c>
      <c r="J93" s="102">
        <v>0</v>
      </c>
      <c r="K93" s="102">
        <v>0</v>
      </c>
      <c r="L93" s="102">
        <v>0</v>
      </c>
      <c r="M93" s="102">
        <v>0</v>
      </c>
      <c r="N93" s="102">
        <v>0</v>
      </c>
      <c r="O93" s="102">
        <v>0</v>
      </c>
      <c r="P93" s="102">
        <v>0</v>
      </c>
      <c r="Q93" s="102">
        <v>0</v>
      </c>
      <c r="R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</row>
    <row r="94" spans="1:29" ht="14.25" customHeight="1">
      <c r="A94" s="93"/>
      <c r="C94" s="101"/>
      <c r="D94" s="104">
        <f>D87+D88</f>
        <v>650000</v>
      </c>
      <c r="E94" s="101"/>
      <c r="F94" s="96">
        <v>45833.333330000001</v>
      </c>
      <c r="G94" s="96">
        <v>45833.333330000001</v>
      </c>
      <c r="H94" s="96">
        <v>45833.333330000001</v>
      </c>
      <c r="I94" s="96">
        <v>45833.333330000001</v>
      </c>
      <c r="J94" s="96">
        <v>45833.333330000001</v>
      </c>
      <c r="K94" s="96">
        <v>45833.333330000001</v>
      </c>
      <c r="L94" s="96">
        <v>45833.333330000001</v>
      </c>
      <c r="M94" s="96">
        <v>45833.333330000001</v>
      </c>
      <c r="N94" s="96">
        <v>45833.333330000001</v>
      </c>
      <c r="O94" s="96">
        <v>45833.333330000001</v>
      </c>
      <c r="P94" s="96">
        <v>45833.333330000001</v>
      </c>
      <c r="Q94" s="96">
        <v>45833.333330000001</v>
      </c>
      <c r="R94" s="105">
        <f t="shared" ref="R94:R96" si="28">SUM(F94:Q94)</f>
        <v>549999.99996000004</v>
      </c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spans="1:29" ht="14.25" customHeight="1">
      <c r="A95" s="93" t="s">
        <v>85</v>
      </c>
      <c r="C95" s="101"/>
      <c r="D95" s="101">
        <f>F95*12</f>
        <v>47400</v>
      </c>
      <c r="E95" s="101"/>
      <c r="F95" s="96">
        <v>3950</v>
      </c>
      <c r="G95" s="96">
        <v>3950</v>
      </c>
      <c r="H95" s="96">
        <v>3950</v>
      </c>
      <c r="I95" s="96">
        <v>3950</v>
      </c>
      <c r="J95" s="96">
        <v>3950</v>
      </c>
      <c r="K95" s="96">
        <v>3950</v>
      </c>
      <c r="L95" s="96">
        <v>3950</v>
      </c>
      <c r="M95" s="96">
        <v>3950</v>
      </c>
      <c r="N95" s="96">
        <v>3950</v>
      </c>
      <c r="O95" s="96">
        <v>3950</v>
      </c>
      <c r="P95" s="96">
        <f>P89+P90+P91+P92+P93</f>
        <v>4050</v>
      </c>
      <c r="Q95" s="96">
        <v>3950</v>
      </c>
      <c r="R95" s="105">
        <f t="shared" si="28"/>
        <v>47500</v>
      </c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spans="1:29" ht="14.25" customHeight="1">
      <c r="A96" s="93" t="s">
        <v>86</v>
      </c>
      <c r="C96" s="101"/>
      <c r="D96" s="104">
        <f>D94-D95</f>
        <v>602600</v>
      </c>
      <c r="E96" s="101"/>
      <c r="F96" s="140">
        <v>41883.333330000001</v>
      </c>
      <c r="G96" s="140">
        <v>41883.333330000001</v>
      </c>
      <c r="H96" s="140">
        <f>H87+H88-H95</f>
        <v>91883.333329999994</v>
      </c>
      <c r="I96" s="140">
        <v>41883.333330000001</v>
      </c>
      <c r="J96" s="140">
        <v>41883.333330000001</v>
      </c>
      <c r="K96" s="140">
        <v>41883.333330000001</v>
      </c>
      <c r="L96" s="140">
        <v>41883.333330000001</v>
      </c>
      <c r="M96" s="140">
        <v>41883.333330000001</v>
      </c>
      <c r="N96" s="140">
        <f>N87+N88-N95</f>
        <v>91883.333329999994</v>
      </c>
      <c r="O96" s="140">
        <v>41883.333330000001</v>
      </c>
      <c r="P96" s="140">
        <f t="shared" ref="P96:Q96" si="29">P87+P88-P95</f>
        <v>41783.333330000001</v>
      </c>
      <c r="Q96" s="140">
        <f t="shared" si="29"/>
        <v>41883.333330000001</v>
      </c>
      <c r="R96" s="105">
        <f t="shared" si="28"/>
        <v>602499.99996000004</v>
      </c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9" spans="1:29" ht="14.25" customHeight="1">
      <c r="A99" s="133" t="s">
        <v>98</v>
      </c>
      <c r="B99" s="144">
        <v>390000</v>
      </c>
      <c r="C99" s="134">
        <v>500000</v>
      </c>
      <c r="D99" s="134">
        <v>650000</v>
      </c>
      <c r="E99" s="135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spans="1:29" ht="14.25" customHeight="1">
      <c r="A100" s="136"/>
      <c r="B100" s="145"/>
      <c r="C100" s="137"/>
      <c r="D100" s="137"/>
      <c r="E100" s="87" t="s">
        <v>65</v>
      </c>
      <c r="F100" s="88" t="s">
        <v>66</v>
      </c>
      <c r="G100" s="88" t="s">
        <v>67</v>
      </c>
      <c r="H100" s="91" t="s">
        <v>68</v>
      </c>
      <c r="I100" s="91" t="s">
        <v>69</v>
      </c>
      <c r="J100" s="91" t="s">
        <v>70</v>
      </c>
      <c r="K100" s="91" t="s">
        <v>71</v>
      </c>
      <c r="L100" s="88" t="s">
        <v>72</v>
      </c>
      <c r="M100" s="91" t="s">
        <v>73</v>
      </c>
      <c r="N100" s="88" t="s">
        <v>74</v>
      </c>
      <c r="O100" s="91" t="s">
        <v>75</v>
      </c>
      <c r="P100" s="92" t="s">
        <v>76</v>
      </c>
      <c r="Q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spans="1:29" ht="14.25" customHeight="1">
      <c r="A101" s="93" t="s">
        <v>78</v>
      </c>
      <c r="B101" s="145"/>
      <c r="C101" s="142">
        <f>36666.66*12</f>
        <v>439999.92000000004</v>
      </c>
      <c r="D101" s="142">
        <v>550000</v>
      </c>
      <c r="E101" s="96">
        <v>45833.333330000001</v>
      </c>
      <c r="F101" s="96">
        <v>45833.333330000001</v>
      </c>
      <c r="G101" s="96">
        <v>45833.333330000001</v>
      </c>
      <c r="H101" s="96">
        <v>45833.333330000001</v>
      </c>
      <c r="I101" s="96">
        <v>45833.333330000001</v>
      </c>
      <c r="J101" s="96">
        <v>45833.333330000001</v>
      </c>
      <c r="K101" s="96">
        <v>45833.333330000001</v>
      </c>
      <c r="L101" s="96">
        <v>45833.333330000001</v>
      </c>
      <c r="M101" s="96">
        <v>45833.333330000001</v>
      </c>
      <c r="N101" s="96">
        <v>45833.333330000001</v>
      </c>
      <c r="O101" s="96">
        <v>45833.333330000001</v>
      </c>
      <c r="P101" s="96">
        <v>45833.333330000001</v>
      </c>
      <c r="Q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spans="1:29" ht="14.25" customHeight="1">
      <c r="A102" s="98" t="s">
        <v>97</v>
      </c>
      <c r="B102" s="145"/>
      <c r="C102" s="99">
        <f>5000*12</f>
        <v>60000</v>
      </c>
      <c r="D102" s="99">
        <v>100000</v>
      </c>
      <c r="E102" s="100">
        <v>0</v>
      </c>
      <c r="F102" s="100">
        <v>0</v>
      </c>
      <c r="G102" s="100">
        <v>0</v>
      </c>
      <c r="H102" s="100">
        <v>0</v>
      </c>
      <c r="I102" s="100">
        <v>0</v>
      </c>
      <c r="J102" s="100">
        <v>50000</v>
      </c>
      <c r="K102" s="100">
        <v>0</v>
      </c>
      <c r="L102" s="100">
        <v>0</v>
      </c>
      <c r="M102" s="100">
        <v>0</v>
      </c>
      <c r="N102" s="100">
        <v>0</v>
      </c>
      <c r="O102" s="100">
        <v>0</v>
      </c>
      <c r="P102" s="100">
        <v>0</v>
      </c>
      <c r="Q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</row>
    <row r="103" spans="1:29" ht="14.25" customHeight="1">
      <c r="A103" s="93" t="s">
        <v>89</v>
      </c>
      <c r="B103" s="145"/>
      <c r="C103" s="101"/>
      <c r="D103" s="101"/>
      <c r="E103" s="102">
        <v>1950</v>
      </c>
      <c r="F103" s="102">
        <v>1950</v>
      </c>
      <c r="G103" s="102">
        <v>1950</v>
      </c>
      <c r="H103" s="102">
        <v>1950</v>
      </c>
      <c r="I103" s="102">
        <v>1950</v>
      </c>
      <c r="J103" s="102">
        <v>1950</v>
      </c>
      <c r="K103" s="102">
        <v>1950</v>
      </c>
      <c r="L103" s="102">
        <v>1950</v>
      </c>
      <c r="M103" s="102">
        <v>1950</v>
      </c>
      <c r="N103" s="102">
        <v>1950</v>
      </c>
      <c r="O103" s="102">
        <v>1950</v>
      </c>
      <c r="P103" s="102">
        <v>1950</v>
      </c>
      <c r="Q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</row>
    <row r="104" spans="1:29" ht="14.25" customHeight="1">
      <c r="A104" s="93" t="s">
        <v>81</v>
      </c>
      <c r="B104" s="145"/>
      <c r="C104" s="101"/>
      <c r="D104" s="101"/>
      <c r="E104" s="102">
        <v>200</v>
      </c>
      <c r="F104" s="102">
        <v>200</v>
      </c>
      <c r="G104" s="102">
        <v>200</v>
      </c>
      <c r="H104" s="102">
        <v>200</v>
      </c>
      <c r="I104" s="102">
        <v>200</v>
      </c>
      <c r="J104" s="102">
        <v>200</v>
      </c>
      <c r="K104" s="102">
        <v>200</v>
      </c>
      <c r="L104" s="102">
        <v>200</v>
      </c>
      <c r="M104" s="102">
        <v>200</v>
      </c>
      <c r="N104" s="102">
        <v>200</v>
      </c>
      <c r="O104" s="102">
        <v>300</v>
      </c>
      <c r="P104" s="102">
        <v>200</v>
      </c>
      <c r="Q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</row>
    <row r="105" spans="1:29" ht="14.25" customHeight="1">
      <c r="A105" s="93" t="s">
        <v>82</v>
      </c>
      <c r="B105" s="145"/>
      <c r="C105" s="101"/>
      <c r="D105" s="101"/>
      <c r="E105" s="139">
        <v>0</v>
      </c>
      <c r="F105" s="139">
        <v>0</v>
      </c>
      <c r="G105" s="139">
        <v>0</v>
      </c>
      <c r="H105" s="139">
        <v>0</v>
      </c>
      <c r="I105" s="139">
        <v>0</v>
      </c>
      <c r="J105" s="139">
        <v>0</v>
      </c>
      <c r="K105" s="139">
        <v>0</v>
      </c>
      <c r="L105" s="139">
        <v>0</v>
      </c>
      <c r="M105" s="139">
        <v>0</v>
      </c>
      <c r="N105" s="139">
        <v>0</v>
      </c>
      <c r="O105" s="139">
        <v>0</v>
      </c>
      <c r="P105" s="139">
        <v>0</v>
      </c>
      <c r="Q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</row>
    <row r="106" spans="1:29" ht="14.25" customHeight="1">
      <c r="A106" s="93" t="s">
        <v>83</v>
      </c>
      <c r="B106" s="145"/>
      <c r="C106" s="101"/>
      <c r="D106" s="101"/>
      <c r="E106" s="102">
        <v>1800</v>
      </c>
      <c r="F106" s="102">
        <v>1800</v>
      </c>
      <c r="G106" s="102">
        <v>1800</v>
      </c>
      <c r="H106" s="102">
        <v>1800</v>
      </c>
      <c r="I106" s="102">
        <v>1800</v>
      </c>
      <c r="J106" s="102">
        <v>1800</v>
      </c>
      <c r="K106" s="102">
        <v>1800</v>
      </c>
      <c r="L106" s="102">
        <v>1800</v>
      </c>
      <c r="M106" s="102">
        <v>1800</v>
      </c>
      <c r="N106" s="102">
        <v>1800</v>
      </c>
      <c r="O106" s="102">
        <v>1800</v>
      </c>
      <c r="P106" s="102">
        <v>1800</v>
      </c>
      <c r="Q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</row>
    <row r="107" spans="1:29" ht="14.25" customHeight="1">
      <c r="A107" s="93" t="s">
        <v>84</v>
      </c>
      <c r="B107" s="145"/>
      <c r="C107" s="101"/>
      <c r="D107" s="101"/>
      <c r="E107" s="102">
        <v>0</v>
      </c>
      <c r="F107" s="102">
        <v>0</v>
      </c>
      <c r="G107" s="102">
        <v>0</v>
      </c>
      <c r="H107" s="102">
        <v>0</v>
      </c>
      <c r="I107" s="102">
        <v>0</v>
      </c>
      <c r="J107" s="102">
        <v>0</v>
      </c>
      <c r="K107" s="102">
        <v>0</v>
      </c>
      <c r="L107" s="102">
        <v>0</v>
      </c>
      <c r="M107" s="102">
        <v>10000</v>
      </c>
      <c r="N107" s="102">
        <v>10000</v>
      </c>
      <c r="O107" s="102">
        <v>10000</v>
      </c>
      <c r="P107" s="102">
        <v>10000</v>
      </c>
      <c r="Q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</row>
    <row r="108" spans="1:29" ht="14.25" customHeight="1">
      <c r="A108" s="93"/>
      <c r="B108" s="145"/>
      <c r="C108" s="101"/>
      <c r="D108" s="101"/>
      <c r="E108" s="96">
        <v>45833.333330000001</v>
      </c>
      <c r="F108" s="96">
        <v>45833.333330000001</v>
      </c>
      <c r="G108" s="96">
        <v>45833.333330000001</v>
      </c>
      <c r="H108" s="96">
        <v>45833.333330000001</v>
      </c>
      <c r="I108" s="96">
        <v>45833.333330000001</v>
      </c>
      <c r="J108" s="96">
        <v>45833.333330000001</v>
      </c>
      <c r="K108" s="96">
        <v>45833.333330000001</v>
      </c>
      <c r="L108" s="96">
        <v>45833.333330000001</v>
      </c>
      <c r="M108" s="96">
        <v>45833.333330000001</v>
      </c>
      <c r="N108" s="96">
        <v>45833.333330000001</v>
      </c>
      <c r="O108" s="96">
        <v>45833.333330000001</v>
      </c>
      <c r="P108" s="96">
        <v>45833.333330000001</v>
      </c>
      <c r="Q108" s="105">
        <f t="shared" ref="Q108:Q110" si="30">SUM(E108:P108)</f>
        <v>549999.99996000004</v>
      </c>
      <c r="T108" s="23"/>
      <c r="U108" s="23"/>
      <c r="V108" s="23"/>
      <c r="W108" s="23"/>
      <c r="X108" s="23"/>
      <c r="Y108" s="23"/>
      <c r="Z108" s="23"/>
      <c r="AA108" s="23"/>
      <c r="AB108" s="23"/>
      <c r="AC108" s="23"/>
    </row>
    <row r="109" spans="1:29" ht="14.25" customHeight="1">
      <c r="A109" s="93" t="s">
        <v>85</v>
      </c>
      <c r="B109" s="145"/>
      <c r="C109" s="101"/>
      <c r="D109" s="101"/>
      <c r="E109" s="96">
        <v>3950</v>
      </c>
      <c r="F109" s="96">
        <v>3950</v>
      </c>
      <c r="G109" s="96">
        <v>3950</v>
      </c>
      <c r="H109" s="96">
        <v>3950</v>
      </c>
      <c r="I109" s="96">
        <v>3950</v>
      </c>
      <c r="J109" s="96">
        <v>3950</v>
      </c>
      <c r="K109" s="96">
        <v>3950</v>
      </c>
      <c r="L109" s="96">
        <v>3950</v>
      </c>
      <c r="M109" s="96">
        <f t="shared" ref="M109:P109" si="31">M103+M104+M105+M106+M107</f>
        <v>13950</v>
      </c>
      <c r="N109" s="96">
        <f t="shared" si="31"/>
        <v>13950</v>
      </c>
      <c r="O109" s="96">
        <f t="shared" si="31"/>
        <v>14050</v>
      </c>
      <c r="P109" s="96">
        <f t="shared" si="31"/>
        <v>13950</v>
      </c>
      <c r="Q109" s="105">
        <f t="shared" si="30"/>
        <v>87500</v>
      </c>
      <c r="T109" s="23"/>
      <c r="U109" s="23"/>
      <c r="V109" s="23"/>
      <c r="W109" s="23"/>
      <c r="X109" s="23"/>
      <c r="Y109" s="23"/>
      <c r="Z109" s="23"/>
      <c r="AA109" s="23"/>
      <c r="AB109" s="23"/>
      <c r="AC109" s="23"/>
    </row>
    <row r="110" spans="1:29" ht="14.25" customHeight="1">
      <c r="A110" s="93" t="s">
        <v>86</v>
      </c>
      <c r="B110" s="146"/>
      <c r="C110" s="101"/>
      <c r="D110" s="101"/>
      <c r="E110" s="140">
        <v>41883.333330000001</v>
      </c>
      <c r="F110" s="140">
        <v>41883.333330000001</v>
      </c>
      <c r="G110" s="140">
        <v>41883.333330000001</v>
      </c>
      <c r="H110" s="140">
        <v>41883.333330000001</v>
      </c>
      <c r="I110" s="140">
        <v>41883.333330000001</v>
      </c>
      <c r="J110" s="140">
        <f>J101+J102-J109</f>
        <v>91883.333329999994</v>
      </c>
      <c r="K110" s="140">
        <v>41883.333330000001</v>
      </c>
      <c r="L110" s="140">
        <v>41883.333330000001</v>
      </c>
      <c r="M110" s="140">
        <f t="shared" ref="M110:P110" si="32">M101-M109</f>
        <v>31883.333330000001</v>
      </c>
      <c r="N110" s="140">
        <f t="shared" si="32"/>
        <v>31883.333330000001</v>
      </c>
      <c r="O110" s="140">
        <f t="shared" si="32"/>
        <v>31783.333330000001</v>
      </c>
      <c r="P110" s="140">
        <f t="shared" si="32"/>
        <v>31883.333330000001</v>
      </c>
      <c r="Q110" s="105">
        <f t="shared" si="30"/>
        <v>512499.99995999993</v>
      </c>
      <c r="T110" s="23"/>
      <c r="U110" s="23"/>
      <c r="V110" s="23"/>
      <c r="W110" s="23"/>
      <c r="X110" s="23"/>
      <c r="Y110" s="23"/>
      <c r="Z110" s="23"/>
      <c r="AA110" s="23"/>
      <c r="AB110" s="23"/>
      <c r="AC110" s="23"/>
    </row>
    <row r="113" spans="1:29" ht="14.25" customHeight="1">
      <c r="A113" s="147" t="s">
        <v>41</v>
      </c>
      <c r="B113" s="148">
        <v>550000</v>
      </c>
      <c r="C113" s="149">
        <v>800000</v>
      </c>
      <c r="D113" s="68"/>
      <c r="E113" s="68"/>
      <c r="F113" s="149">
        <v>800000</v>
      </c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</row>
    <row r="114" spans="1:29" ht="14.25" customHeight="1">
      <c r="A114" s="26"/>
      <c r="B114" s="26"/>
      <c r="C114" s="126" t="s">
        <v>99</v>
      </c>
      <c r="D114" s="26" t="s">
        <v>65</v>
      </c>
      <c r="E114" s="27" t="s">
        <v>66</v>
      </c>
      <c r="F114" s="126" t="s">
        <v>100</v>
      </c>
      <c r="G114" s="27" t="s">
        <v>67</v>
      </c>
      <c r="H114" s="26" t="s">
        <v>68</v>
      </c>
      <c r="I114" s="26" t="s">
        <v>69</v>
      </c>
      <c r="J114" s="26" t="s">
        <v>70</v>
      </c>
      <c r="K114" s="26" t="s">
        <v>71</v>
      </c>
      <c r="L114" s="27" t="s">
        <v>72</v>
      </c>
      <c r="M114" s="26" t="s">
        <v>73</v>
      </c>
      <c r="N114" s="27" t="s">
        <v>74</v>
      </c>
      <c r="O114" s="26" t="s">
        <v>75</v>
      </c>
      <c r="P114" s="27" t="s">
        <v>76</v>
      </c>
      <c r="U114" s="28"/>
      <c r="V114" s="28"/>
      <c r="W114" s="28"/>
      <c r="X114" s="28"/>
      <c r="Y114" s="28"/>
      <c r="Z114" s="28"/>
      <c r="AA114" s="28"/>
      <c r="AB114" s="28"/>
      <c r="AC114" s="28"/>
    </row>
    <row r="115" spans="1:29" ht="14.25" customHeight="1">
      <c r="A115" s="150" t="s">
        <v>78</v>
      </c>
      <c r="B115" s="151">
        <v>500000</v>
      </c>
      <c r="C115" s="152">
        <v>750000</v>
      </c>
      <c r="D115" s="151">
        <v>41667</v>
      </c>
      <c r="E115" s="151">
        <v>41667</v>
      </c>
      <c r="F115" s="152">
        <v>750000</v>
      </c>
      <c r="G115" s="153">
        <f>F115/12</f>
        <v>62500</v>
      </c>
      <c r="H115" s="152">
        <v>62500</v>
      </c>
      <c r="I115" s="152">
        <v>62500</v>
      </c>
      <c r="J115" s="152">
        <v>62500</v>
      </c>
      <c r="K115" s="152">
        <v>62500</v>
      </c>
      <c r="L115" s="152">
        <v>62500</v>
      </c>
      <c r="M115" s="152">
        <v>62500</v>
      </c>
      <c r="N115" s="152">
        <v>62500</v>
      </c>
      <c r="O115" s="152">
        <v>62500</v>
      </c>
      <c r="P115" s="152">
        <v>62500</v>
      </c>
      <c r="T115" s="154"/>
      <c r="U115" s="23"/>
      <c r="V115" s="23"/>
      <c r="W115" s="23"/>
      <c r="X115" s="23"/>
      <c r="Y115" s="23"/>
      <c r="Z115" s="23"/>
      <c r="AA115" s="23"/>
      <c r="AB115" s="23"/>
      <c r="AC115" s="23"/>
    </row>
    <row r="116" spans="1:29" ht="14.25" customHeight="1">
      <c r="A116" s="155" t="s">
        <v>101</v>
      </c>
      <c r="B116" s="156">
        <v>50000</v>
      </c>
      <c r="C116" s="126">
        <v>50000</v>
      </c>
      <c r="D116" s="156">
        <v>0</v>
      </c>
      <c r="E116" s="156">
        <v>0</v>
      </c>
      <c r="F116" s="126">
        <v>50000</v>
      </c>
      <c r="G116" s="126">
        <v>0</v>
      </c>
      <c r="H116" s="126">
        <v>0</v>
      </c>
      <c r="I116" s="126">
        <v>0</v>
      </c>
      <c r="J116" s="126">
        <v>0</v>
      </c>
      <c r="K116" s="126">
        <v>0</v>
      </c>
      <c r="L116" s="126">
        <v>0</v>
      </c>
      <c r="M116" s="126">
        <v>0</v>
      </c>
      <c r="N116" s="126">
        <v>0</v>
      </c>
      <c r="O116" s="126">
        <v>0</v>
      </c>
      <c r="P116" s="126">
        <v>0</v>
      </c>
      <c r="T116" s="157"/>
      <c r="U116" s="23"/>
      <c r="V116" s="23"/>
      <c r="W116" s="23"/>
      <c r="X116" s="23"/>
      <c r="Y116" s="23"/>
      <c r="Z116" s="23"/>
      <c r="AA116" s="23"/>
      <c r="AB116" s="23"/>
      <c r="AC116" s="23"/>
    </row>
    <row r="117" spans="1:29" ht="14.25" customHeight="1">
      <c r="A117" s="31" t="s">
        <v>89</v>
      </c>
      <c r="B117" s="156">
        <f t="shared" ref="B117:C117" si="33">D117*12</f>
        <v>23400</v>
      </c>
      <c r="C117" s="156">
        <f t="shared" si="33"/>
        <v>23400</v>
      </c>
      <c r="D117" s="158">
        <v>1950</v>
      </c>
      <c r="E117" s="158">
        <v>1950</v>
      </c>
      <c r="F117" s="156">
        <f t="shared" ref="F117:F118" si="34">H117*12</f>
        <v>23400</v>
      </c>
      <c r="G117" s="158">
        <v>1950</v>
      </c>
      <c r="H117" s="158">
        <v>1950</v>
      </c>
      <c r="I117" s="158">
        <v>1950</v>
      </c>
      <c r="J117" s="158">
        <v>1950</v>
      </c>
      <c r="K117" s="158">
        <v>1950</v>
      </c>
      <c r="L117" s="158">
        <v>1950</v>
      </c>
      <c r="M117" s="158">
        <v>1950</v>
      </c>
      <c r="N117" s="158">
        <v>1950</v>
      </c>
      <c r="O117" s="158">
        <v>1950</v>
      </c>
      <c r="P117" s="158">
        <v>1950</v>
      </c>
      <c r="T117" s="159"/>
      <c r="U117" s="23"/>
      <c r="V117" s="23"/>
      <c r="W117" s="23"/>
      <c r="X117" s="23"/>
      <c r="Y117" s="23"/>
      <c r="Z117" s="23"/>
      <c r="AA117" s="23"/>
      <c r="AB117" s="23"/>
      <c r="AC117" s="23"/>
    </row>
    <row r="118" spans="1:29" ht="14.25" customHeight="1">
      <c r="A118" s="31" t="s">
        <v>81</v>
      </c>
      <c r="B118" s="156">
        <f t="shared" ref="B118:C118" si="35">D118*12</f>
        <v>2400</v>
      </c>
      <c r="C118" s="156">
        <f t="shared" si="35"/>
        <v>2400</v>
      </c>
      <c r="D118" s="158">
        <v>200</v>
      </c>
      <c r="E118" s="158">
        <v>200</v>
      </c>
      <c r="F118" s="156">
        <f t="shared" si="34"/>
        <v>2400</v>
      </c>
      <c r="G118" s="158">
        <v>200</v>
      </c>
      <c r="H118" s="158">
        <v>200</v>
      </c>
      <c r="I118" s="158">
        <v>200</v>
      </c>
      <c r="J118" s="158">
        <v>200</v>
      </c>
      <c r="K118" s="158">
        <v>200</v>
      </c>
      <c r="L118" s="158">
        <v>200</v>
      </c>
      <c r="M118" s="158">
        <v>200</v>
      </c>
      <c r="N118" s="158">
        <v>200</v>
      </c>
      <c r="O118" s="160">
        <v>300</v>
      </c>
      <c r="P118" s="158">
        <v>200</v>
      </c>
      <c r="T118" s="159"/>
      <c r="U118" s="23"/>
      <c r="V118" s="23"/>
      <c r="W118" s="23"/>
      <c r="X118" s="23"/>
      <c r="Y118" s="23"/>
      <c r="Z118" s="23"/>
      <c r="AA118" s="23"/>
      <c r="AB118" s="23"/>
      <c r="AC118" s="23"/>
    </row>
    <row r="119" spans="1:29" ht="14.25" customHeight="1">
      <c r="A119" s="31" t="s">
        <v>82</v>
      </c>
      <c r="B119" s="156">
        <v>0</v>
      </c>
      <c r="C119" s="156">
        <v>0</v>
      </c>
      <c r="D119" s="158">
        <v>0</v>
      </c>
      <c r="E119" s="158">
        <v>0</v>
      </c>
      <c r="F119" s="156">
        <v>0</v>
      </c>
      <c r="G119" s="158">
        <v>0</v>
      </c>
      <c r="H119" s="158">
        <v>0</v>
      </c>
      <c r="I119" s="158">
        <v>0</v>
      </c>
      <c r="J119" s="158">
        <v>0</v>
      </c>
      <c r="K119" s="158">
        <v>0</v>
      </c>
      <c r="L119" s="158">
        <v>0</v>
      </c>
      <c r="M119" s="158">
        <v>0</v>
      </c>
      <c r="N119" s="158">
        <v>0</v>
      </c>
      <c r="O119" s="158">
        <v>0</v>
      </c>
      <c r="P119" s="158">
        <v>0</v>
      </c>
      <c r="T119" s="159"/>
      <c r="U119" s="23"/>
      <c r="V119" s="23"/>
      <c r="W119" s="23"/>
      <c r="X119" s="23"/>
      <c r="Y119" s="23"/>
      <c r="Z119" s="23"/>
      <c r="AA119" s="23"/>
      <c r="AB119" s="23"/>
      <c r="AC119" s="23"/>
    </row>
    <row r="120" spans="1:29" ht="14.25" customHeight="1">
      <c r="A120" s="31" t="s">
        <v>83</v>
      </c>
      <c r="B120" s="156">
        <f t="shared" ref="B120:C120" si="36">D120*12</f>
        <v>21600</v>
      </c>
      <c r="C120" s="156">
        <f t="shared" si="36"/>
        <v>21600</v>
      </c>
      <c r="D120" s="158">
        <v>1800</v>
      </c>
      <c r="E120" s="158">
        <v>1800</v>
      </c>
      <c r="F120" s="156">
        <f>H120*12</f>
        <v>21600</v>
      </c>
      <c r="G120" s="158">
        <v>1800</v>
      </c>
      <c r="H120" s="158">
        <v>1800</v>
      </c>
      <c r="I120" s="158">
        <v>1800</v>
      </c>
      <c r="J120" s="158">
        <v>1800</v>
      </c>
      <c r="K120" s="158">
        <v>1800</v>
      </c>
      <c r="L120" s="158">
        <v>1800</v>
      </c>
      <c r="M120" s="158">
        <v>1800</v>
      </c>
      <c r="N120" s="158">
        <v>1800</v>
      </c>
      <c r="O120" s="158">
        <v>1800</v>
      </c>
      <c r="P120" s="158">
        <v>1800</v>
      </c>
      <c r="T120" s="159"/>
      <c r="U120" s="23"/>
      <c r="V120" s="23"/>
      <c r="W120" s="23"/>
      <c r="X120" s="23"/>
      <c r="Y120" s="23"/>
      <c r="Z120" s="23"/>
      <c r="AA120" s="23"/>
      <c r="AB120" s="23"/>
      <c r="AC120" s="23"/>
    </row>
    <row r="121" spans="1:29" ht="14.25" customHeight="1">
      <c r="A121" s="31" t="s">
        <v>84</v>
      </c>
      <c r="B121" s="156"/>
      <c r="C121" s="156"/>
      <c r="D121" s="156">
        <v>0</v>
      </c>
      <c r="E121" s="156">
        <v>0</v>
      </c>
      <c r="F121" s="156"/>
      <c r="G121" s="156">
        <v>0</v>
      </c>
      <c r="H121" s="156">
        <v>0</v>
      </c>
      <c r="I121" s="156">
        <v>0</v>
      </c>
      <c r="J121" s="156">
        <v>0</v>
      </c>
      <c r="K121" s="156">
        <v>0</v>
      </c>
      <c r="L121" s="156">
        <v>0</v>
      </c>
      <c r="M121" s="156">
        <v>0</v>
      </c>
      <c r="N121" s="156">
        <v>0</v>
      </c>
      <c r="O121" s="156">
        <v>0</v>
      </c>
      <c r="P121" s="156">
        <v>0</v>
      </c>
      <c r="T121" s="157"/>
      <c r="U121" s="23"/>
      <c r="V121" s="23"/>
      <c r="W121" s="23"/>
      <c r="X121" s="23"/>
      <c r="Y121" s="23"/>
      <c r="Z121" s="23"/>
      <c r="AA121" s="23"/>
      <c r="AB121" s="23"/>
      <c r="AC121" s="23"/>
    </row>
    <row r="122" spans="1:29" ht="14.25" customHeight="1">
      <c r="A122" s="31"/>
      <c r="B122" s="156">
        <f>B115+B116</f>
        <v>550000</v>
      </c>
      <c r="C122" s="68"/>
      <c r="D122" s="151">
        <v>41667</v>
      </c>
      <c r="E122" s="151">
        <v>41667</v>
      </c>
      <c r="F122" s="68"/>
      <c r="G122" s="126">
        <v>62500</v>
      </c>
      <c r="H122" s="126">
        <v>62500</v>
      </c>
      <c r="I122" s="126">
        <v>62500</v>
      </c>
      <c r="J122" s="126">
        <v>62500</v>
      </c>
      <c r="K122" s="126">
        <v>62500</v>
      </c>
      <c r="L122" s="126">
        <v>62500</v>
      </c>
      <c r="M122" s="126">
        <v>62500</v>
      </c>
      <c r="N122" s="126">
        <v>62500</v>
      </c>
      <c r="O122" s="126">
        <v>62500</v>
      </c>
      <c r="P122" s="126">
        <v>62500</v>
      </c>
      <c r="T122" s="154"/>
      <c r="U122" s="161"/>
      <c r="V122" s="23"/>
      <c r="W122" s="23"/>
      <c r="X122" s="23"/>
      <c r="Y122" s="23"/>
      <c r="Z122" s="23"/>
      <c r="AA122" s="23"/>
      <c r="AB122" s="23"/>
      <c r="AC122" s="23"/>
    </row>
    <row r="123" spans="1:29" ht="14.25" customHeight="1">
      <c r="A123" s="31" t="s">
        <v>85</v>
      </c>
      <c r="B123" s="156">
        <f>SUM(B117:B121)</f>
        <v>47400</v>
      </c>
      <c r="C123" s="68">
        <f t="shared" ref="C123:F123" si="37">C117+C118+C120+C119</f>
        <v>47400</v>
      </c>
      <c r="D123" s="156">
        <f t="shared" si="37"/>
        <v>3950</v>
      </c>
      <c r="E123" s="156">
        <f t="shared" si="37"/>
        <v>3950</v>
      </c>
      <c r="F123" s="68">
        <f t="shared" si="37"/>
        <v>47400</v>
      </c>
      <c r="G123" s="68">
        <f t="shared" ref="G123:N123" si="38">G117+G118+G119+G120</f>
        <v>3950</v>
      </c>
      <c r="H123" s="68">
        <f t="shared" si="38"/>
        <v>3950</v>
      </c>
      <c r="I123" s="68">
        <f t="shared" si="38"/>
        <v>3950</v>
      </c>
      <c r="J123" s="68">
        <f t="shared" si="38"/>
        <v>3950</v>
      </c>
      <c r="K123" s="68">
        <f t="shared" si="38"/>
        <v>3950</v>
      </c>
      <c r="L123" s="68">
        <f t="shared" si="38"/>
        <v>3950</v>
      </c>
      <c r="M123" s="68">
        <f t="shared" si="38"/>
        <v>3950</v>
      </c>
      <c r="N123" s="68">
        <f t="shared" si="38"/>
        <v>3950</v>
      </c>
      <c r="O123" s="68">
        <f>O117+O118+O120+O119</f>
        <v>4050</v>
      </c>
      <c r="P123" s="68">
        <f>P117+P118+P119+P120</f>
        <v>3950</v>
      </c>
      <c r="T123" s="157"/>
      <c r="U123" s="162"/>
      <c r="V123" s="23"/>
      <c r="W123" s="23"/>
      <c r="X123" s="23"/>
      <c r="Y123" s="23"/>
      <c r="Z123" s="23"/>
      <c r="AA123" s="23"/>
      <c r="AB123" s="23"/>
      <c r="AC123" s="23"/>
    </row>
    <row r="124" spans="1:29" ht="14.25" customHeight="1">
      <c r="A124" s="110" t="s">
        <v>86</v>
      </c>
      <c r="B124" s="163">
        <f>B122-B123</f>
        <v>502600</v>
      </c>
      <c r="C124" s="164">
        <f t="shared" ref="C124:F124" si="39">C115-C123</f>
        <v>702600</v>
      </c>
      <c r="D124" s="163">
        <f t="shared" si="39"/>
        <v>37717</v>
      </c>
      <c r="E124" s="163">
        <f t="shared" si="39"/>
        <v>37717</v>
      </c>
      <c r="F124" s="164">
        <f t="shared" si="39"/>
        <v>702600</v>
      </c>
      <c r="G124" s="164">
        <f t="shared" ref="G124:P124" si="40">G122-G123</f>
        <v>58550</v>
      </c>
      <c r="H124" s="164">
        <f t="shared" si="40"/>
        <v>58550</v>
      </c>
      <c r="I124" s="164">
        <f t="shared" si="40"/>
        <v>58550</v>
      </c>
      <c r="J124" s="164">
        <f t="shared" si="40"/>
        <v>58550</v>
      </c>
      <c r="K124" s="164">
        <f t="shared" si="40"/>
        <v>58550</v>
      </c>
      <c r="L124" s="164">
        <f t="shared" si="40"/>
        <v>58550</v>
      </c>
      <c r="M124" s="164">
        <f t="shared" si="40"/>
        <v>58550</v>
      </c>
      <c r="N124" s="164">
        <f t="shared" si="40"/>
        <v>58550</v>
      </c>
      <c r="O124" s="164">
        <f t="shared" si="40"/>
        <v>58450</v>
      </c>
      <c r="P124" s="164">
        <f t="shared" si="40"/>
        <v>58550</v>
      </c>
      <c r="T124" s="165"/>
      <c r="U124" s="166"/>
      <c r="V124" s="66"/>
      <c r="W124" s="66"/>
      <c r="X124" s="66"/>
      <c r="Y124" s="66"/>
      <c r="Z124" s="66"/>
      <c r="AA124" s="66"/>
      <c r="AB124" s="66"/>
      <c r="AC124" s="66"/>
    </row>
    <row r="125" spans="1:29" ht="18">
      <c r="A125" s="167" t="s">
        <v>102</v>
      </c>
      <c r="B125" s="168">
        <v>900000</v>
      </c>
      <c r="C125" s="169"/>
      <c r="D125" s="170" t="s">
        <v>103</v>
      </c>
      <c r="E125" s="170" t="s">
        <v>66</v>
      </c>
      <c r="F125" s="170" t="s">
        <v>67</v>
      </c>
      <c r="G125" s="170" t="s">
        <v>68</v>
      </c>
      <c r="H125" s="170" t="s">
        <v>69</v>
      </c>
      <c r="I125" s="170" t="s">
        <v>70</v>
      </c>
      <c r="J125" s="170" t="s">
        <v>104</v>
      </c>
      <c r="K125" s="170" t="s">
        <v>72</v>
      </c>
      <c r="L125" s="170" t="s">
        <v>73</v>
      </c>
      <c r="M125" s="170" t="s">
        <v>74</v>
      </c>
      <c r="N125" s="170" t="s">
        <v>75</v>
      </c>
      <c r="O125" s="170" t="s">
        <v>76</v>
      </c>
      <c r="P125" s="170" t="s">
        <v>65</v>
      </c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</row>
    <row r="126" spans="1:29" ht="18">
      <c r="A126" s="150" t="s">
        <v>78</v>
      </c>
      <c r="B126" s="168">
        <v>828000</v>
      </c>
      <c r="C126" s="67">
        <f t="shared" ref="C126:C132" si="41">B126/12</f>
        <v>69000</v>
      </c>
      <c r="D126" s="152">
        <v>62500</v>
      </c>
      <c r="E126" s="152">
        <v>62500</v>
      </c>
      <c r="F126" s="152">
        <v>69000</v>
      </c>
      <c r="G126" s="152">
        <v>69000</v>
      </c>
      <c r="H126" s="152">
        <v>69000</v>
      </c>
      <c r="I126" s="152">
        <v>69000</v>
      </c>
      <c r="J126" s="152">
        <v>69000</v>
      </c>
      <c r="K126" s="152">
        <v>69000</v>
      </c>
      <c r="L126" s="152">
        <v>69000</v>
      </c>
      <c r="M126" s="152">
        <v>69000</v>
      </c>
      <c r="N126" s="152">
        <v>69000</v>
      </c>
      <c r="O126" s="152">
        <v>69000</v>
      </c>
      <c r="P126" s="152">
        <v>69000</v>
      </c>
    </row>
    <row r="127" spans="1:29" ht="18">
      <c r="A127" s="155" t="s">
        <v>105</v>
      </c>
      <c r="B127" s="168">
        <v>72000</v>
      </c>
      <c r="C127" s="67">
        <f t="shared" si="41"/>
        <v>6000</v>
      </c>
      <c r="D127" s="126">
        <v>0</v>
      </c>
      <c r="E127" s="126">
        <v>0</v>
      </c>
      <c r="F127" s="126">
        <v>6000</v>
      </c>
      <c r="G127" s="126">
        <v>6000</v>
      </c>
      <c r="H127" s="126">
        <v>6000</v>
      </c>
      <c r="I127" s="126">
        <v>6000</v>
      </c>
      <c r="J127" s="126">
        <v>6000</v>
      </c>
      <c r="K127" s="126">
        <v>6000</v>
      </c>
      <c r="L127" s="126">
        <v>6000</v>
      </c>
      <c r="M127" s="126">
        <v>6000</v>
      </c>
      <c r="N127" s="126">
        <v>6000</v>
      </c>
      <c r="O127" s="126">
        <v>6000</v>
      </c>
      <c r="P127" s="126">
        <v>6000</v>
      </c>
    </row>
    <row r="128" spans="1:29" ht="17.399999999999999">
      <c r="A128" s="31" t="s">
        <v>89</v>
      </c>
      <c r="B128" s="67"/>
      <c r="C128" s="67">
        <f t="shared" si="41"/>
        <v>0</v>
      </c>
      <c r="D128" s="158">
        <v>1950</v>
      </c>
      <c r="E128" s="158">
        <v>1950</v>
      </c>
      <c r="F128" s="158">
        <v>1950</v>
      </c>
      <c r="G128" s="158">
        <v>1950</v>
      </c>
      <c r="H128" s="158">
        <v>1950</v>
      </c>
      <c r="I128" s="158">
        <v>1950</v>
      </c>
      <c r="J128" s="158">
        <v>1950</v>
      </c>
      <c r="K128" s="158">
        <v>1950</v>
      </c>
      <c r="L128" s="158">
        <v>1950</v>
      </c>
      <c r="M128" s="158">
        <v>1950</v>
      </c>
      <c r="N128" s="158">
        <v>1950</v>
      </c>
      <c r="O128" s="158">
        <v>1950</v>
      </c>
      <c r="P128" s="158">
        <v>1950</v>
      </c>
    </row>
    <row r="129" spans="1:29" ht="17.399999999999999">
      <c r="A129" s="31" t="s">
        <v>81</v>
      </c>
      <c r="B129" s="67"/>
      <c r="C129" s="67">
        <f t="shared" si="41"/>
        <v>0</v>
      </c>
      <c r="D129" s="158">
        <v>200</v>
      </c>
      <c r="E129" s="158">
        <v>200</v>
      </c>
      <c r="F129" s="158">
        <v>200</v>
      </c>
      <c r="G129" s="158">
        <v>200</v>
      </c>
      <c r="H129" s="158">
        <v>200</v>
      </c>
      <c r="I129" s="158">
        <v>200</v>
      </c>
      <c r="J129" s="158">
        <v>200</v>
      </c>
      <c r="K129" s="158">
        <v>200</v>
      </c>
      <c r="L129" s="158">
        <v>200</v>
      </c>
      <c r="M129" s="158">
        <v>200</v>
      </c>
      <c r="N129" s="158">
        <v>200</v>
      </c>
      <c r="O129" s="158">
        <v>200</v>
      </c>
      <c r="P129" s="158">
        <v>200</v>
      </c>
    </row>
    <row r="130" spans="1:29" ht="17.399999999999999">
      <c r="A130" s="31" t="s">
        <v>82</v>
      </c>
      <c r="B130" s="67"/>
      <c r="C130" s="67">
        <f t="shared" si="41"/>
        <v>0</v>
      </c>
      <c r="D130" s="158">
        <v>0</v>
      </c>
      <c r="E130" s="158">
        <v>0</v>
      </c>
      <c r="F130" s="158">
        <v>0</v>
      </c>
      <c r="G130" s="158">
        <v>0</v>
      </c>
      <c r="H130" s="158">
        <v>0</v>
      </c>
      <c r="I130" s="158">
        <v>0</v>
      </c>
      <c r="J130" s="158">
        <v>0</v>
      </c>
      <c r="K130" s="158">
        <v>0</v>
      </c>
      <c r="L130" s="158">
        <v>0</v>
      </c>
      <c r="M130" s="158">
        <v>0</v>
      </c>
      <c r="N130" s="158">
        <v>0</v>
      </c>
      <c r="O130" s="158">
        <v>0</v>
      </c>
      <c r="P130" s="158">
        <v>0</v>
      </c>
    </row>
    <row r="131" spans="1:29" ht="34.799999999999997">
      <c r="A131" s="31" t="s">
        <v>83</v>
      </c>
      <c r="B131" s="67"/>
      <c r="C131" s="67">
        <f t="shared" si="41"/>
        <v>0</v>
      </c>
      <c r="D131" s="158">
        <v>1800</v>
      </c>
      <c r="E131" s="158">
        <v>1800</v>
      </c>
      <c r="F131" s="158">
        <v>1800</v>
      </c>
      <c r="G131" s="158">
        <v>1800</v>
      </c>
      <c r="H131" s="158">
        <v>1800</v>
      </c>
      <c r="I131" s="158">
        <v>1800</v>
      </c>
      <c r="J131" s="158">
        <v>1800</v>
      </c>
      <c r="K131" s="158">
        <v>1800</v>
      </c>
      <c r="L131" s="158">
        <v>1800</v>
      </c>
      <c r="M131" s="158">
        <v>1800</v>
      </c>
      <c r="N131" s="158">
        <v>1800</v>
      </c>
      <c r="O131" s="158">
        <v>1800</v>
      </c>
      <c r="P131" s="158">
        <v>1800</v>
      </c>
    </row>
    <row r="132" spans="1:29" ht="17.399999999999999">
      <c r="A132" s="31">
        <v>0</v>
      </c>
      <c r="B132" s="67"/>
      <c r="C132" s="67">
        <f t="shared" si="41"/>
        <v>0</v>
      </c>
      <c r="D132" s="156">
        <v>0</v>
      </c>
      <c r="E132" s="156">
        <v>0</v>
      </c>
      <c r="F132" s="126">
        <v>50000</v>
      </c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</row>
    <row r="133" spans="1:29" ht="17.399999999999999">
      <c r="A133" s="31"/>
      <c r="B133" s="67"/>
      <c r="C133" s="67"/>
      <c r="D133" s="126">
        <v>62500</v>
      </c>
      <c r="E133" s="126">
        <v>62500</v>
      </c>
      <c r="F133" s="126">
        <f t="shared" ref="F133:P133" si="42">F126+F127+F132</f>
        <v>125000</v>
      </c>
      <c r="G133" s="126">
        <f t="shared" si="42"/>
        <v>75000</v>
      </c>
      <c r="H133" s="126">
        <f t="shared" si="42"/>
        <v>75000</v>
      </c>
      <c r="I133" s="126">
        <f t="shared" si="42"/>
        <v>75000</v>
      </c>
      <c r="J133" s="126">
        <f t="shared" si="42"/>
        <v>75000</v>
      </c>
      <c r="K133" s="126">
        <f t="shared" si="42"/>
        <v>75000</v>
      </c>
      <c r="L133" s="126">
        <f t="shared" si="42"/>
        <v>75000</v>
      </c>
      <c r="M133" s="126">
        <f t="shared" si="42"/>
        <v>75000</v>
      </c>
      <c r="N133" s="126">
        <f t="shared" si="42"/>
        <v>75000</v>
      </c>
      <c r="O133" s="126">
        <f t="shared" si="42"/>
        <v>75000</v>
      </c>
      <c r="P133" s="126">
        <f t="shared" si="42"/>
        <v>75000</v>
      </c>
    </row>
    <row r="134" spans="1:29" ht="17.399999999999999">
      <c r="A134" s="31" t="s">
        <v>85</v>
      </c>
      <c r="B134" s="67"/>
      <c r="C134" s="67"/>
      <c r="D134" s="68">
        <f t="shared" ref="D134:P134" si="43">D128+D129+D130+D131</f>
        <v>3950</v>
      </c>
      <c r="E134" s="68">
        <f t="shared" si="43"/>
        <v>3950</v>
      </c>
      <c r="F134" s="68">
        <f t="shared" si="43"/>
        <v>3950</v>
      </c>
      <c r="G134" s="68">
        <f t="shared" si="43"/>
        <v>3950</v>
      </c>
      <c r="H134" s="68">
        <f t="shared" si="43"/>
        <v>3950</v>
      </c>
      <c r="I134" s="68">
        <f t="shared" si="43"/>
        <v>3950</v>
      </c>
      <c r="J134" s="68">
        <f t="shared" si="43"/>
        <v>3950</v>
      </c>
      <c r="K134" s="68">
        <f t="shared" si="43"/>
        <v>3950</v>
      </c>
      <c r="L134" s="68">
        <f t="shared" si="43"/>
        <v>3950</v>
      </c>
      <c r="M134" s="68">
        <f t="shared" si="43"/>
        <v>3950</v>
      </c>
      <c r="N134" s="68">
        <f t="shared" si="43"/>
        <v>3950</v>
      </c>
      <c r="O134" s="68">
        <f t="shared" si="43"/>
        <v>3950</v>
      </c>
      <c r="P134" s="68">
        <f t="shared" si="43"/>
        <v>3950</v>
      </c>
    </row>
    <row r="135" spans="1:29" ht="17.399999999999999">
      <c r="A135" s="31"/>
      <c r="B135" s="67"/>
      <c r="C135" s="67"/>
      <c r="D135" s="164"/>
      <c r="E135" s="164"/>
      <c r="F135" s="164"/>
      <c r="G135" s="164">
        <f>F132-25</f>
        <v>49975</v>
      </c>
      <c r="H135" s="172">
        <v>49975</v>
      </c>
      <c r="I135" s="164"/>
      <c r="J135" s="164"/>
      <c r="K135" s="164"/>
      <c r="L135" s="164"/>
      <c r="M135" s="164"/>
      <c r="N135" s="164"/>
      <c r="O135" s="164"/>
      <c r="P135" s="164"/>
    </row>
    <row r="136" spans="1:29" ht="17.399999999999999">
      <c r="A136" s="31" t="s">
        <v>86</v>
      </c>
      <c r="B136" s="67"/>
      <c r="C136" s="67"/>
      <c r="D136" s="164">
        <f t="shared" ref="D136:F136" si="44">D133-D134</f>
        <v>58550</v>
      </c>
      <c r="E136" s="164">
        <f t="shared" si="44"/>
        <v>58550</v>
      </c>
      <c r="F136" s="164">
        <f t="shared" si="44"/>
        <v>121050</v>
      </c>
      <c r="G136" s="164">
        <f>G133-G134+G135</f>
        <v>121025</v>
      </c>
      <c r="H136" s="164">
        <f>H133-H134-H135</f>
        <v>21075</v>
      </c>
      <c r="I136" s="164">
        <f t="shared" ref="I136:P136" si="45">I133-I134</f>
        <v>71050</v>
      </c>
      <c r="J136" s="164">
        <f t="shared" si="45"/>
        <v>71050</v>
      </c>
      <c r="K136" s="164">
        <f t="shared" si="45"/>
        <v>71050</v>
      </c>
      <c r="L136" s="164">
        <f t="shared" si="45"/>
        <v>71050</v>
      </c>
      <c r="M136" s="164">
        <f t="shared" si="45"/>
        <v>71050</v>
      </c>
      <c r="N136" s="164">
        <f t="shared" si="45"/>
        <v>71050</v>
      </c>
      <c r="O136" s="164">
        <f t="shared" si="45"/>
        <v>71050</v>
      </c>
      <c r="P136" s="164">
        <f t="shared" si="45"/>
        <v>71050</v>
      </c>
    </row>
    <row r="139" spans="1:29" ht="14.25" customHeight="1">
      <c r="A139" s="173" t="s">
        <v>44</v>
      </c>
      <c r="B139" s="174">
        <v>500000</v>
      </c>
      <c r="C139" s="175">
        <v>650000</v>
      </c>
      <c r="D139" s="170" t="s">
        <v>65</v>
      </c>
      <c r="E139" s="170" t="s">
        <v>66</v>
      </c>
      <c r="F139" s="29" t="s">
        <v>67</v>
      </c>
      <c r="G139" s="29" t="s">
        <v>68</v>
      </c>
      <c r="H139" s="29" t="s">
        <v>69</v>
      </c>
      <c r="I139" s="29" t="s">
        <v>70</v>
      </c>
      <c r="J139" s="29" t="s">
        <v>104</v>
      </c>
      <c r="K139" s="29" t="s">
        <v>72</v>
      </c>
      <c r="L139" s="29" t="s">
        <v>73</v>
      </c>
      <c r="M139" s="29" t="s">
        <v>74</v>
      </c>
      <c r="N139" s="29" t="s">
        <v>75</v>
      </c>
      <c r="O139" s="29" t="s">
        <v>76</v>
      </c>
      <c r="P139" s="176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  <c r="AA139" s="177"/>
      <c r="AB139" s="177"/>
      <c r="AC139" s="177"/>
    </row>
    <row r="140" spans="1:29" ht="14.25" customHeight="1">
      <c r="A140" s="178" t="s">
        <v>78</v>
      </c>
      <c r="B140" s="179">
        <v>460000</v>
      </c>
      <c r="C140" s="175">
        <v>600000</v>
      </c>
      <c r="D140" s="180">
        <f>B140/12</f>
        <v>38333.333333333336</v>
      </c>
      <c r="E140" s="180">
        <f t="shared" ref="E140:F140" si="46">B140/12</f>
        <v>38333.333333333336</v>
      </c>
      <c r="F140" s="68">
        <f t="shared" si="46"/>
        <v>50000</v>
      </c>
      <c r="G140" s="67">
        <f t="shared" ref="G140:O140" si="47">F140</f>
        <v>50000</v>
      </c>
      <c r="H140" s="67">
        <f t="shared" si="47"/>
        <v>50000</v>
      </c>
      <c r="I140" s="67">
        <f t="shared" si="47"/>
        <v>50000</v>
      </c>
      <c r="J140" s="67">
        <f t="shared" si="47"/>
        <v>50000</v>
      </c>
      <c r="K140" s="67">
        <f t="shared" si="47"/>
        <v>50000</v>
      </c>
      <c r="L140" s="67">
        <f t="shared" si="47"/>
        <v>50000</v>
      </c>
      <c r="M140" s="67">
        <f t="shared" si="47"/>
        <v>50000</v>
      </c>
      <c r="N140" s="67">
        <f t="shared" si="47"/>
        <v>50000</v>
      </c>
      <c r="O140" s="67">
        <f t="shared" si="47"/>
        <v>50000</v>
      </c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</row>
    <row r="141" spans="1:29" ht="14.25" customHeight="1">
      <c r="A141" s="155" t="s">
        <v>101</v>
      </c>
      <c r="B141" s="181">
        <v>40000</v>
      </c>
      <c r="C141" s="182">
        <v>50000</v>
      </c>
      <c r="D141" s="67"/>
      <c r="E141" s="67"/>
      <c r="F141" s="68"/>
      <c r="G141" s="67"/>
      <c r="H141" s="67"/>
      <c r="I141" s="67"/>
      <c r="J141" s="67"/>
      <c r="K141" s="67"/>
      <c r="L141" s="67"/>
      <c r="M141" s="67"/>
      <c r="N141" s="67"/>
      <c r="O141" s="67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</row>
    <row r="142" spans="1:29" ht="14.25" customHeight="1">
      <c r="A142" s="31" t="s">
        <v>89</v>
      </c>
      <c r="B142" s="183"/>
      <c r="C142" s="175">
        <f t="shared" ref="C142:C143" si="48">F142*12</f>
        <v>23400</v>
      </c>
      <c r="D142" s="126">
        <v>1950</v>
      </c>
      <c r="E142" s="126">
        <v>1950</v>
      </c>
      <c r="F142" s="126">
        <v>1950</v>
      </c>
      <c r="G142" s="126">
        <v>1950</v>
      </c>
      <c r="H142" s="126">
        <v>1950</v>
      </c>
      <c r="I142" s="126">
        <v>1950</v>
      </c>
      <c r="J142" s="126">
        <v>1950</v>
      </c>
      <c r="K142" s="126">
        <v>1950</v>
      </c>
      <c r="L142" s="126">
        <v>1950</v>
      </c>
      <c r="M142" s="126">
        <v>1950</v>
      </c>
      <c r="N142" s="126">
        <v>1950</v>
      </c>
      <c r="O142" s="126">
        <v>1950</v>
      </c>
      <c r="P142" s="184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</row>
    <row r="143" spans="1:29" ht="14.25" customHeight="1">
      <c r="A143" s="31" t="s">
        <v>81</v>
      </c>
      <c r="B143" s="183"/>
      <c r="C143" s="175">
        <f t="shared" si="48"/>
        <v>2400</v>
      </c>
      <c r="D143" s="126">
        <v>200</v>
      </c>
      <c r="E143" s="126">
        <v>200</v>
      </c>
      <c r="F143" s="126">
        <v>200</v>
      </c>
      <c r="G143" s="126">
        <v>200</v>
      </c>
      <c r="H143" s="126">
        <v>200</v>
      </c>
      <c r="I143" s="126">
        <v>200</v>
      </c>
      <c r="J143" s="126">
        <v>200</v>
      </c>
      <c r="K143" s="126">
        <v>200</v>
      </c>
      <c r="L143" s="126">
        <v>200</v>
      </c>
      <c r="M143" s="126">
        <v>200</v>
      </c>
      <c r="N143" s="126">
        <v>200</v>
      </c>
      <c r="O143" s="126">
        <v>200</v>
      </c>
      <c r="P143" s="184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</row>
    <row r="144" spans="1:29" ht="14.25" customHeight="1">
      <c r="A144" s="31" t="s">
        <v>82</v>
      </c>
      <c r="B144" s="183"/>
      <c r="C144" s="175"/>
      <c r="D144" s="126">
        <v>0</v>
      </c>
      <c r="E144" s="126">
        <v>0</v>
      </c>
      <c r="F144" s="126">
        <v>0</v>
      </c>
      <c r="G144" s="185">
        <v>0</v>
      </c>
      <c r="H144" s="185">
        <v>0</v>
      </c>
      <c r="I144" s="185">
        <v>0</v>
      </c>
      <c r="J144" s="185">
        <v>0</v>
      </c>
      <c r="K144" s="185">
        <v>0</v>
      </c>
      <c r="L144" s="185">
        <v>0</v>
      </c>
      <c r="M144" s="185">
        <v>0</v>
      </c>
      <c r="N144" s="185">
        <v>0</v>
      </c>
      <c r="O144" s="185">
        <v>0</v>
      </c>
      <c r="P144" s="30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</row>
    <row r="145" spans="1:29" ht="14.25" customHeight="1">
      <c r="A145" s="31" t="s">
        <v>83</v>
      </c>
      <c r="B145" s="183"/>
      <c r="C145" s="175">
        <f>F145*12</f>
        <v>21600</v>
      </c>
      <c r="D145" s="126">
        <v>1800</v>
      </c>
      <c r="E145" s="126">
        <v>1800</v>
      </c>
      <c r="F145" s="126">
        <v>1800</v>
      </c>
      <c r="G145" s="126">
        <v>1800</v>
      </c>
      <c r="H145" s="126">
        <v>1800</v>
      </c>
      <c r="I145" s="126">
        <v>1800</v>
      </c>
      <c r="J145" s="126">
        <v>1800</v>
      </c>
      <c r="K145" s="126">
        <v>1800</v>
      </c>
      <c r="L145" s="126">
        <v>1800</v>
      </c>
      <c r="M145" s="126">
        <v>1800</v>
      </c>
      <c r="N145" s="126">
        <v>1800</v>
      </c>
      <c r="O145" s="126">
        <v>1800</v>
      </c>
      <c r="P145" s="184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spans="1:29" ht="14.25" customHeight="1">
      <c r="A146" s="31" t="s">
        <v>84</v>
      </c>
      <c r="B146" s="186"/>
      <c r="C146" s="175"/>
      <c r="D146" s="126">
        <v>0</v>
      </c>
      <c r="E146" s="126">
        <v>0</v>
      </c>
      <c r="F146" s="126">
        <v>0</v>
      </c>
      <c r="G146" s="185">
        <v>0</v>
      </c>
      <c r="H146" s="185">
        <v>0</v>
      </c>
      <c r="I146" s="185">
        <v>0</v>
      </c>
      <c r="J146" s="185">
        <v>0</v>
      </c>
      <c r="K146" s="185">
        <v>0</v>
      </c>
      <c r="L146" s="185">
        <v>0</v>
      </c>
      <c r="M146" s="185">
        <v>0</v>
      </c>
      <c r="N146" s="185">
        <v>0</v>
      </c>
      <c r="O146" s="185">
        <v>0</v>
      </c>
      <c r="P146" s="30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</row>
    <row r="147" spans="1:29" ht="14.25" customHeight="1">
      <c r="A147" s="31"/>
      <c r="B147" s="67"/>
      <c r="C147" s="187"/>
      <c r="D147" s="67"/>
      <c r="E147" s="67"/>
      <c r="F147" s="68"/>
      <c r="G147" s="67"/>
      <c r="H147" s="67"/>
      <c r="I147" s="67"/>
      <c r="J147" s="67"/>
      <c r="K147" s="67"/>
      <c r="L147" s="67"/>
      <c r="M147" s="67"/>
      <c r="N147" s="67"/>
      <c r="O147" s="67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 spans="1:29" ht="14.25" customHeight="1">
      <c r="A148" s="31" t="s">
        <v>85</v>
      </c>
      <c r="B148" s="67"/>
      <c r="C148" s="175">
        <f t="shared" ref="C148:O148" si="49">SUM(C142:C146)</f>
        <v>47400</v>
      </c>
      <c r="D148" s="67">
        <f t="shared" si="49"/>
        <v>3950</v>
      </c>
      <c r="E148" s="67">
        <f t="shared" si="49"/>
        <v>3950</v>
      </c>
      <c r="F148" s="68">
        <f t="shared" si="49"/>
        <v>3950</v>
      </c>
      <c r="G148" s="68">
        <f t="shared" si="49"/>
        <v>3950</v>
      </c>
      <c r="H148" s="68">
        <f t="shared" si="49"/>
        <v>3950</v>
      </c>
      <c r="I148" s="68">
        <f t="shared" si="49"/>
        <v>3950</v>
      </c>
      <c r="J148" s="68">
        <f t="shared" si="49"/>
        <v>3950</v>
      </c>
      <c r="K148" s="68">
        <f t="shared" si="49"/>
        <v>3950</v>
      </c>
      <c r="L148" s="68">
        <f t="shared" si="49"/>
        <v>3950</v>
      </c>
      <c r="M148" s="68">
        <f t="shared" si="49"/>
        <v>3950</v>
      </c>
      <c r="N148" s="68">
        <f t="shared" si="49"/>
        <v>3950</v>
      </c>
      <c r="O148" s="68">
        <f t="shared" si="49"/>
        <v>3950</v>
      </c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</row>
    <row r="149" spans="1:29" ht="14.25" customHeight="1">
      <c r="A149" s="110" t="s">
        <v>86</v>
      </c>
      <c r="B149" s="80"/>
      <c r="C149" s="188">
        <f t="shared" ref="C149:O149" si="50">C140-C148</f>
        <v>552600</v>
      </c>
      <c r="D149" s="80">
        <f t="shared" si="50"/>
        <v>34383.333333333336</v>
      </c>
      <c r="E149" s="80">
        <f t="shared" si="50"/>
        <v>34383.333333333336</v>
      </c>
      <c r="F149" s="164">
        <f t="shared" si="50"/>
        <v>46050</v>
      </c>
      <c r="G149" s="164">
        <f t="shared" si="50"/>
        <v>46050</v>
      </c>
      <c r="H149" s="164">
        <f t="shared" si="50"/>
        <v>46050</v>
      </c>
      <c r="I149" s="164">
        <f t="shared" si="50"/>
        <v>46050</v>
      </c>
      <c r="J149" s="164">
        <f t="shared" si="50"/>
        <v>46050</v>
      </c>
      <c r="K149" s="164">
        <f t="shared" si="50"/>
        <v>46050</v>
      </c>
      <c r="L149" s="164">
        <f t="shared" si="50"/>
        <v>46050</v>
      </c>
      <c r="M149" s="164">
        <f t="shared" si="50"/>
        <v>46050</v>
      </c>
      <c r="N149" s="164">
        <f t="shared" si="50"/>
        <v>46050</v>
      </c>
      <c r="O149" s="164">
        <f t="shared" si="50"/>
        <v>46050</v>
      </c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</row>
    <row r="150" spans="1:29" ht="17.399999999999999">
      <c r="A150" s="167" t="s">
        <v>106</v>
      </c>
      <c r="B150" s="189">
        <v>750000</v>
      </c>
      <c r="C150" s="67"/>
      <c r="D150" s="170" t="s">
        <v>65</v>
      </c>
      <c r="E150" s="170" t="s">
        <v>66</v>
      </c>
      <c r="F150" s="29" t="s">
        <v>67</v>
      </c>
      <c r="G150" s="29" t="s">
        <v>68</v>
      </c>
      <c r="H150" s="29" t="s">
        <v>69</v>
      </c>
      <c r="I150" s="29" t="s">
        <v>70</v>
      </c>
      <c r="J150" s="29" t="s">
        <v>104</v>
      </c>
      <c r="K150" s="29" t="s">
        <v>72</v>
      </c>
      <c r="L150" s="29" t="s">
        <v>73</v>
      </c>
      <c r="M150" s="29" t="s">
        <v>74</v>
      </c>
      <c r="N150" s="29" t="s">
        <v>75</v>
      </c>
      <c r="O150" s="29" t="s">
        <v>76</v>
      </c>
    </row>
    <row r="151" spans="1:29" ht="15.6">
      <c r="A151" s="178" t="s">
        <v>78</v>
      </c>
      <c r="B151" s="190">
        <v>690000</v>
      </c>
      <c r="C151" s="67">
        <f t="shared" ref="C151:C152" si="51">B151/12</f>
        <v>57500</v>
      </c>
      <c r="D151" s="67">
        <f t="shared" ref="D151:O151" si="52">C151</f>
        <v>57500</v>
      </c>
      <c r="E151" s="67">
        <f t="shared" si="52"/>
        <v>57500</v>
      </c>
      <c r="F151" s="67">
        <f t="shared" si="52"/>
        <v>57500</v>
      </c>
      <c r="G151" s="67">
        <f t="shared" si="52"/>
        <v>57500</v>
      </c>
      <c r="H151" s="67">
        <f t="shared" si="52"/>
        <v>57500</v>
      </c>
      <c r="I151" s="67">
        <f t="shared" si="52"/>
        <v>57500</v>
      </c>
      <c r="J151" s="67">
        <f t="shared" si="52"/>
        <v>57500</v>
      </c>
      <c r="K151" s="67">
        <f t="shared" si="52"/>
        <v>57500</v>
      </c>
      <c r="L151" s="67">
        <f t="shared" si="52"/>
        <v>57500</v>
      </c>
      <c r="M151" s="67">
        <f t="shared" si="52"/>
        <v>57500</v>
      </c>
      <c r="N151" s="67">
        <f t="shared" si="52"/>
        <v>57500</v>
      </c>
      <c r="O151" s="67">
        <f t="shared" si="52"/>
        <v>57500</v>
      </c>
    </row>
    <row r="152" spans="1:29" ht="16.8">
      <c r="A152" s="155" t="s">
        <v>101</v>
      </c>
      <c r="B152" s="191">
        <v>60000</v>
      </c>
      <c r="C152" s="67">
        <f t="shared" si="51"/>
        <v>5000</v>
      </c>
      <c r="D152" s="67"/>
      <c r="E152" s="67"/>
      <c r="F152" s="67">
        <f>C152</f>
        <v>5000</v>
      </c>
      <c r="G152" s="185">
        <v>5000</v>
      </c>
      <c r="H152" s="185">
        <v>5000</v>
      </c>
      <c r="I152" s="67">
        <f t="shared" ref="I152:O152" si="53">F152</f>
        <v>5000</v>
      </c>
      <c r="J152" s="67">
        <f t="shared" si="53"/>
        <v>5000</v>
      </c>
      <c r="K152" s="67">
        <f t="shared" si="53"/>
        <v>5000</v>
      </c>
      <c r="L152" s="67">
        <f t="shared" si="53"/>
        <v>5000</v>
      </c>
      <c r="M152" s="67">
        <f t="shared" si="53"/>
        <v>5000</v>
      </c>
      <c r="N152" s="67">
        <f t="shared" si="53"/>
        <v>5000</v>
      </c>
      <c r="O152" s="67">
        <f t="shared" si="53"/>
        <v>5000</v>
      </c>
    </row>
    <row r="153" spans="1:29" ht="17.399999999999999">
      <c r="A153" s="31" t="s">
        <v>89</v>
      </c>
      <c r="B153" s="67"/>
      <c r="C153" s="67">
        <f>C151+C152</f>
        <v>62500</v>
      </c>
      <c r="D153" s="126">
        <v>1950</v>
      </c>
      <c r="E153" s="126">
        <v>1950</v>
      </c>
      <c r="F153" s="126">
        <v>1950</v>
      </c>
      <c r="G153" s="126">
        <v>1950</v>
      </c>
      <c r="H153" s="126">
        <v>1950</v>
      </c>
      <c r="I153" s="126">
        <v>1950</v>
      </c>
      <c r="J153" s="126">
        <v>1950</v>
      </c>
      <c r="K153" s="126">
        <v>1950</v>
      </c>
      <c r="L153" s="126">
        <v>1950</v>
      </c>
      <c r="M153" s="126">
        <v>1950</v>
      </c>
      <c r="N153" s="126">
        <v>1950</v>
      </c>
      <c r="O153" s="126">
        <v>1950</v>
      </c>
    </row>
    <row r="154" spans="1:29" ht="17.399999999999999">
      <c r="A154" s="31" t="s">
        <v>81</v>
      </c>
      <c r="B154" s="67"/>
      <c r="C154" s="67"/>
      <c r="D154" s="126">
        <v>200</v>
      </c>
      <c r="E154" s="126">
        <v>200</v>
      </c>
      <c r="F154" s="126">
        <v>200</v>
      </c>
      <c r="G154" s="126">
        <v>200</v>
      </c>
      <c r="H154" s="126">
        <v>200</v>
      </c>
      <c r="I154" s="126">
        <v>200</v>
      </c>
      <c r="J154" s="126">
        <v>200</v>
      </c>
      <c r="K154" s="126">
        <v>200</v>
      </c>
      <c r="L154" s="126">
        <v>200</v>
      </c>
      <c r="M154" s="126">
        <v>200</v>
      </c>
      <c r="N154" s="126">
        <v>200</v>
      </c>
      <c r="O154" s="126">
        <v>200</v>
      </c>
    </row>
    <row r="155" spans="1:29" ht="17.399999999999999">
      <c r="A155" s="31" t="s">
        <v>82</v>
      </c>
      <c r="B155" s="67"/>
      <c r="C155" s="67"/>
      <c r="D155" s="185">
        <v>0</v>
      </c>
      <c r="E155" s="185">
        <v>0</v>
      </c>
      <c r="F155" s="126">
        <v>0</v>
      </c>
      <c r="G155" s="126">
        <v>0</v>
      </c>
      <c r="H155" s="126">
        <v>0</v>
      </c>
      <c r="I155" s="126">
        <v>0</v>
      </c>
      <c r="J155" s="126">
        <v>0</v>
      </c>
      <c r="K155" s="126">
        <v>0</v>
      </c>
      <c r="L155" s="126">
        <v>0</v>
      </c>
      <c r="M155" s="126">
        <v>0</v>
      </c>
      <c r="N155" s="126">
        <v>0</v>
      </c>
      <c r="O155" s="126">
        <v>0</v>
      </c>
    </row>
    <row r="156" spans="1:29" ht="34.799999999999997">
      <c r="A156" s="31" t="s">
        <v>83</v>
      </c>
      <c r="B156" s="67"/>
      <c r="C156" s="67"/>
      <c r="D156" s="126">
        <v>1800</v>
      </c>
      <c r="E156" s="126">
        <v>1800</v>
      </c>
      <c r="F156" s="126">
        <v>1800</v>
      </c>
      <c r="G156" s="126">
        <v>1800</v>
      </c>
      <c r="H156" s="126">
        <v>1800</v>
      </c>
      <c r="I156" s="126">
        <v>1800</v>
      </c>
      <c r="J156" s="126">
        <v>1800</v>
      </c>
      <c r="K156" s="126">
        <v>1800</v>
      </c>
      <c r="L156" s="126">
        <v>1800</v>
      </c>
      <c r="M156" s="126">
        <v>1800</v>
      </c>
      <c r="N156" s="126">
        <v>1800</v>
      </c>
      <c r="O156" s="126">
        <v>1800</v>
      </c>
    </row>
    <row r="157" spans="1:29" ht="17.399999999999999">
      <c r="A157" s="31"/>
      <c r="B157" s="67"/>
      <c r="C157" s="67"/>
      <c r="D157" s="185">
        <v>0</v>
      </c>
      <c r="E157" s="185">
        <v>0</v>
      </c>
      <c r="F157" s="160">
        <v>50000</v>
      </c>
      <c r="G157" s="160">
        <v>0</v>
      </c>
      <c r="H157" s="160">
        <v>0</v>
      </c>
      <c r="I157" s="160">
        <v>0</v>
      </c>
      <c r="J157" s="160">
        <v>0</v>
      </c>
      <c r="K157" s="160">
        <v>0</v>
      </c>
      <c r="L157" s="160">
        <v>0</v>
      </c>
      <c r="M157" s="160">
        <v>0</v>
      </c>
      <c r="N157" s="160">
        <v>0</v>
      </c>
      <c r="O157" s="160">
        <v>0</v>
      </c>
    </row>
    <row r="158" spans="1:29" ht="17.399999999999999">
      <c r="A158" s="31"/>
      <c r="B158" s="67"/>
      <c r="C158" s="67"/>
      <c r="D158" s="67"/>
      <c r="E158" s="67"/>
      <c r="F158" s="67">
        <f t="shared" ref="F158:O158" si="54">F151+F152+F157</f>
        <v>112500</v>
      </c>
      <c r="G158" s="67">
        <f t="shared" si="54"/>
        <v>62500</v>
      </c>
      <c r="H158" s="67">
        <f t="shared" si="54"/>
        <v>62500</v>
      </c>
      <c r="I158" s="67">
        <f t="shared" si="54"/>
        <v>62500</v>
      </c>
      <c r="J158" s="67">
        <f t="shared" si="54"/>
        <v>62500</v>
      </c>
      <c r="K158" s="67">
        <f t="shared" si="54"/>
        <v>62500</v>
      </c>
      <c r="L158" s="67">
        <f t="shared" si="54"/>
        <v>62500</v>
      </c>
      <c r="M158" s="67">
        <f t="shared" si="54"/>
        <v>62500</v>
      </c>
      <c r="N158" s="67">
        <f t="shared" si="54"/>
        <v>62500</v>
      </c>
      <c r="O158" s="67">
        <f t="shared" si="54"/>
        <v>62500</v>
      </c>
    </row>
    <row r="159" spans="1:29" ht="17.399999999999999">
      <c r="A159" s="31" t="s">
        <v>85</v>
      </c>
      <c r="B159" s="67"/>
      <c r="C159" s="67"/>
      <c r="D159" s="68">
        <f t="shared" ref="D159:E159" si="55">SUM(D153:D157)</f>
        <v>3950</v>
      </c>
      <c r="E159" s="68">
        <f t="shared" si="55"/>
        <v>3950</v>
      </c>
      <c r="F159" s="185">
        <f t="shared" ref="F159:O159" si="56">SUM(F153:F156)</f>
        <v>3950</v>
      </c>
      <c r="G159" s="185">
        <f t="shared" si="56"/>
        <v>3950</v>
      </c>
      <c r="H159" s="185">
        <f t="shared" si="56"/>
        <v>3950</v>
      </c>
      <c r="I159" s="185">
        <f t="shared" si="56"/>
        <v>3950</v>
      </c>
      <c r="J159" s="185">
        <f t="shared" si="56"/>
        <v>3950</v>
      </c>
      <c r="K159" s="185">
        <f t="shared" si="56"/>
        <v>3950</v>
      </c>
      <c r="L159" s="185">
        <f t="shared" si="56"/>
        <v>3950</v>
      </c>
      <c r="M159" s="185">
        <f t="shared" si="56"/>
        <v>3950</v>
      </c>
      <c r="N159" s="185">
        <f t="shared" si="56"/>
        <v>3950</v>
      </c>
      <c r="O159" s="185">
        <f t="shared" si="56"/>
        <v>3950</v>
      </c>
    </row>
    <row r="160" spans="1:29" ht="18">
      <c r="A160" s="192"/>
      <c r="B160" s="193"/>
      <c r="C160" s="193"/>
      <c r="D160" s="164">
        <f>D151-D159</f>
        <v>53550</v>
      </c>
      <c r="E160" s="193"/>
      <c r="F160" s="193"/>
      <c r="G160" s="193">
        <f>F157-25</f>
        <v>49975</v>
      </c>
      <c r="H160" s="194">
        <v>49975</v>
      </c>
      <c r="I160" s="193"/>
      <c r="J160" s="193"/>
      <c r="K160" s="193"/>
      <c r="L160" s="193"/>
      <c r="M160" s="193"/>
      <c r="N160" s="193"/>
      <c r="O160" s="193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  <c r="AA160" s="195"/>
      <c r="AB160" s="195"/>
      <c r="AC160" s="195"/>
    </row>
    <row r="161" spans="1:29" ht="18">
      <c r="A161" s="192" t="s">
        <v>86</v>
      </c>
      <c r="B161" s="193"/>
      <c r="C161" s="193"/>
      <c r="D161" s="193">
        <f t="shared" ref="D161:E161" si="57">D151-D159</f>
        <v>53550</v>
      </c>
      <c r="E161" s="193">
        <f t="shared" si="57"/>
        <v>53550</v>
      </c>
      <c r="F161" s="193">
        <f>F158-F159</f>
        <v>108550</v>
      </c>
      <c r="G161" s="193">
        <f>G158-G159+G160</f>
        <v>108525</v>
      </c>
      <c r="H161" s="193">
        <f>H158-H159-H160</f>
        <v>8575</v>
      </c>
      <c r="I161" s="193">
        <f t="shared" ref="I161:O161" si="58">I158-I159</f>
        <v>58550</v>
      </c>
      <c r="J161" s="193">
        <f t="shared" si="58"/>
        <v>58550</v>
      </c>
      <c r="K161" s="193">
        <f t="shared" si="58"/>
        <v>58550</v>
      </c>
      <c r="L161" s="193">
        <f t="shared" si="58"/>
        <v>58550</v>
      </c>
      <c r="M161" s="193">
        <f t="shared" si="58"/>
        <v>58550</v>
      </c>
      <c r="N161" s="193">
        <f t="shared" si="58"/>
        <v>58550</v>
      </c>
      <c r="O161" s="193">
        <f t="shared" si="58"/>
        <v>58550</v>
      </c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  <c r="AA161" s="195"/>
      <c r="AB161" s="195"/>
      <c r="AC161" s="195"/>
    </row>
    <row r="163" spans="1:29" ht="14.25" customHeight="1">
      <c r="A163" s="196"/>
      <c r="B163" s="196"/>
      <c r="C163" s="196"/>
      <c r="D163" s="196"/>
      <c r="E163" s="196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</row>
    <row r="164" spans="1:29" ht="14.25" customHeight="1">
      <c r="A164" s="197" t="s">
        <v>45</v>
      </c>
      <c r="B164" s="174">
        <v>500000</v>
      </c>
      <c r="C164" s="175">
        <v>650000</v>
      </c>
      <c r="D164" s="170" t="s">
        <v>65</v>
      </c>
      <c r="E164" s="170" t="s">
        <v>66</v>
      </c>
      <c r="F164" s="29" t="s">
        <v>67</v>
      </c>
      <c r="G164" s="29" t="s">
        <v>68</v>
      </c>
      <c r="H164" s="29" t="s">
        <v>69</v>
      </c>
      <c r="I164" s="29" t="s">
        <v>70</v>
      </c>
      <c r="J164" s="29" t="s">
        <v>104</v>
      </c>
      <c r="K164" s="29" t="s">
        <v>72</v>
      </c>
      <c r="L164" s="29" t="s">
        <v>73</v>
      </c>
      <c r="M164" s="29" t="s">
        <v>74</v>
      </c>
      <c r="N164" s="29" t="s">
        <v>75</v>
      </c>
      <c r="O164" s="29" t="s">
        <v>76</v>
      </c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</row>
    <row r="165" spans="1:29" ht="14.25" customHeight="1">
      <c r="A165" s="178" t="s">
        <v>78</v>
      </c>
      <c r="B165" s="179">
        <v>460000</v>
      </c>
      <c r="C165" s="175">
        <v>600000</v>
      </c>
      <c r="D165" s="180">
        <f>B165/12</f>
        <v>38333.333333333336</v>
      </c>
      <c r="E165" s="180">
        <f t="shared" ref="E165:F165" si="59">B165/12</f>
        <v>38333.333333333336</v>
      </c>
      <c r="F165" s="68">
        <f t="shared" si="59"/>
        <v>50000</v>
      </c>
      <c r="G165" s="67">
        <f t="shared" ref="G165:O165" si="60">F165</f>
        <v>50000</v>
      </c>
      <c r="H165" s="67">
        <f t="shared" si="60"/>
        <v>50000</v>
      </c>
      <c r="I165" s="67">
        <f t="shared" si="60"/>
        <v>50000</v>
      </c>
      <c r="J165" s="67">
        <f t="shared" si="60"/>
        <v>50000</v>
      </c>
      <c r="K165" s="67">
        <f t="shared" si="60"/>
        <v>50000</v>
      </c>
      <c r="L165" s="67">
        <f t="shared" si="60"/>
        <v>50000</v>
      </c>
      <c r="M165" s="67">
        <f t="shared" si="60"/>
        <v>50000</v>
      </c>
      <c r="N165" s="67">
        <f t="shared" si="60"/>
        <v>50000</v>
      </c>
      <c r="O165" s="67">
        <f t="shared" si="60"/>
        <v>50000</v>
      </c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</row>
    <row r="166" spans="1:29" ht="14.25" customHeight="1">
      <c r="A166" s="155" t="s">
        <v>101</v>
      </c>
      <c r="B166" s="181">
        <v>40000</v>
      </c>
      <c r="C166" s="182">
        <v>50000</v>
      </c>
      <c r="D166" s="67"/>
      <c r="E166" s="67"/>
      <c r="F166" s="68"/>
      <c r="G166" s="67"/>
      <c r="H166" s="67"/>
      <c r="I166" s="67"/>
      <c r="J166" s="67"/>
      <c r="K166" s="67"/>
      <c r="L166" s="67"/>
      <c r="M166" s="67"/>
      <c r="N166" s="67"/>
      <c r="O166" s="67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</row>
    <row r="167" spans="1:29" ht="14.25" customHeight="1">
      <c r="A167" s="31" t="s">
        <v>89</v>
      </c>
      <c r="B167" s="183"/>
      <c r="C167" s="175">
        <f t="shared" ref="C167:C168" si="61">F167*12</f>
        <v>23400</v>
      </c>
      <c r="D167" s="126">
        <v>1950</v>
      </c>
      <c r="E167" s="126">
        <v>1950</v>
      </c>
      <c r="F167" s="126">
        <v>1950</v>
      </c>
      <c r="G167" s="126">
        <v>1950</v>
      </c>
      <c r="H167" s="126">
        <v>1950</v>
      </c>
      <c r="I167" s="126">
        <v>1950</v>
      </c>
      <c r="J167" s="126">
        <v>1950</v>
      </c>
      <c r="K167" s="126">
        <v>1950</v>
      </c>
      <c r="L167" s="126">
        <v>1950</v>
      </c>
      <c r="M167" s="126">
        <v>1950</v>
      </c>
      <c r="N167" s="126">
        <v>1950</v>
      </c>
      <c r="O167" s="126">
        <v>1950</v>
      </c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</row>
    <row r="168" spans="1:29" ht="14.25" customHeight="1">
      <c r="A168" s="31" t="s">
        <v>81</v>
      </c>
      <c r="B168" s="183"/>
      <c r="C168" s="175">
        <f t="shared" si="61"/>
        <v>2400</v>
      </c>
      <c r="D168" s="126">
        <v>200</v>
      </c>
      <c r="E168" s="126">
        <v>200</v>
      </c>
      <c r="F168" s="126">
        <v>200</v>
      </c>
      <c r="G168" s="126">
        <v>200</v>
      </c>
      <c r="H168" s="126">
        <v>200</v>
      </c>
      <c r="I168" s="126">
        <v>200</v>
      </c>
      <c r="J168" s="126">
        <v>200</v>
      </c>
      <c r="K168" s="126">
        <v>200</v>
      </c>
      <c r="L168" s="126">
        <v>200</v>
      </c>
      <c r="M168" s="126">
        <v>200</v>
      </c>
      <c r="N168" s="126">
        <v>200</v>
      </c>
      <c r="O168" s="126">
        <v>200</v>
      </c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</row>
    <row r="169" spans="1:29" ht="14.25" customHeight="1">
      <c r="A169" s="31" t="s">
        <v>82</v>
      </c>
      <c r="B169" s="183"/>
      <c r="C169" s="175"/>
      <c r="D169" s="126">
        <v>0</v>
      </c>
      <c r="E169" s="126">
        <v>0</v>
      </c>
      <c r="F169" s="126">
        <v>0</v>
      </c>
      <c r="G169" s="185">
        <v>0</v>
      </c>
      <c r="H169" s="185">
        <v>0</v>
      </c>
      <c r="I169" s="185">
        <v>0</v>
      </c>
      <c r="J169" s="185">
        <v>0</v>
      </c>
      <c r="K169" s="185">
        <v>0</v>
      </c>
      <c r="L169" s="185">
        <v>0</v>
      </c>
      <c r="M169" s="185">
        <v>0</v>
      </c>
      <c r="N169" s="185">
        <v>0</v>
      </c>
      <c r="O169" s="185">
        <v>0</v>
      </c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</row>
    <row r="170" spans="1:29" ht="14.25" customHeight="1">
      <c r="A170" s="31" t="s">
        <v>83</v>
      </c>
      <c r="B170" s="183"/>
      <c r="C170" s="175">
        <f>F170*12</f>
        <v>21600</v>
      </c>
      <c r="D170" s="126">
        <v>1800</v>
      </c>
      <c r="E170" s="126">
        <v>1800</v>
      </c>
      <c r="F170" s="126">
        <v>1800</v>
      </c>
      <c r="G170" s="126">
        <v>1800</v>
      </c>
      <c r="H170" s="126">
        <v>1800</v>
      </c>
      <c r="I170" s="126">
        <v>1800</v>
      </c>
      <c r="J170" s="126">
        <v>1800</v>
      </c>
      <c r="K170" s="126">
        <v>1800</v>
      </c>
      <c r="L170" s="126">
        <v>1800</v>
      </c>
      <c r="M170" s="126">
        <v>1800</v>
      </c>
      <c r="N170" s="126">
        <v>1800</v>
      </c>
      <c r="O170" s="126">
        <v>1800</v>
      </c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</row>
    <row r="171" spans="1:29" ht="14.25" customHeight="1">
      <c r="A171" s="31" t="s">
        <v>84</v>
      </c>
      <c r="B171" s="186"/>
      <c r="C171" s="175"/>
      <c r="D171" s="126">
        <v>0</v>
      </c>
      <c r="E171" s="126">
        <v>0</v>
      </c>
      <c r="F171" s="126">
        <v>0</v>
      </c>
      <c r="G171" s="185">
        <v>0</v>
      </c>
      <c r="H171" s="185">
        <v>0</v>
      </c>
      <c r="I171" s="185">
        <v>0</v>
      </c>
      <c r="J171" s="185">
        <v>0</v>
      </c>
      <c r="K171" s="185">
        <v>0</v>
      </c>
      <c r="L171" s="185">
        <v>0</v>
      </c>
      <c r="M171" s="185">
        <v>0</v>
      </c>
      <c r="N171" s="185">
        <v>0</v>
      </c>
      <c r="O171" s="185">
        <v>0</v>
      </c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</row>
    <row r="172" spans="1:29" ht="14.25" customHeight="1">
      <c r="A172" s="31"/>
      <c r="B172" s="67"/>
      <c r="C172" s="187"/>
      <c r="D172" s="67"/>
      <c r="E172" s="67"/>
      <c r="F172" s="68"/>
      <c r="G172" s="67"/>
      <c r="H172" s="67"/>
      <c r="I172" s="67"/>
      <c r="J172" s="67"/>
      <c r="K172" s="67"/>
      <c r="L172" s="67"/>
      <c r="M172" s="67"/>
      <c r="N172" s="67"/>
      <c r="O172" s="67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</row>
    <row r="173" spans="1:29" ht="14.25" customHeight="1">
      <c r="A173" s="31" t="s">
        <v>85</v>
      </c>
      <c r="B173" s="67"/>
      <c r="C173" s="175">
        <f t="shared" ref="C173:O173" si="62">SUM(C167:C171)</f>
        <v>47400</v>
      </c>
      <c r="D173" s="67">
        <f t="shared" si="62"/>
        <v>3950</v>
      </c>
      <c r="E173" s="67">
        <f t="shared" si="62"/>
        <v>3950</v>
      </c>
      <c r="F173" s="68">
        <f t="shared" si="62"/>
        <v>3950</v>
      </c>
      <c r="G173" s="68">
        <f t="shared" si="62"/>
        <v>3950</v>
      </c>
      <c r="H173" s="68">
        <f t="shared" si="62"/>
        <v>3950</v>
      </c>
      <c r="I173" s="68">
        <f t="shared" si="62"/>
        <v>3950</v>
      </c>
      <c r="J173" s="68">
        <f t="shared" si="62"/>
        <v>3950</v>
      </c>
      <c r="K173" s="68">
        <f t="shared" si="62"/>
        <v>3950</v>
      </c>
      <c r="L173" s="68">
        <f t="shared" si="62"/>
        <v>3950</v>
      </c>
      <c r="M173" s="68">
        <f t="shared" si="62"/>
        <v>3950</v>
      </c>
      <c r="N173" s="68">
        <f t="shared" si="62"/>
        <v>3950</v>
      </c>
      <c r="O173" s="68">
        <f t="shared" si="62"/>
        <v>3950</v>
      </c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 spans="1:29" ht="14.25" customHeight="1">
      <c r="A174" s="110" t="s">
        <v>86</v>
      </c>
      <c r="B174" s="80"/>
      <c r="C174" s="188">
        <f t="shared" ref="C174:O174" si="63">C165-C173</f>
        <v>552600</v>
      </c>
      <c r="D174" s="80">
        <f t="shared" si="63"/>
        <v>34383.333333333336</v>
      </c>
      <c r="E174" s="80">
        <f t="shared" si="63"/>
        <v>34383.333333333336</v>
      </c>
      <c r="F174" s="164">
        <f t="shared" si="63"/>
        <v>46050</v>
      </c>
      <c r="G174" s="164">
        <f t="shared" si="63"/>
        <v>46050</v>
      </c>
      <c r="H174" s="164">
        <f t="shared" si="63"/>
        <v>46050</v>
      </c>
      <c r="I174" s="164">
        <f t="shared" si="63"/>
        <v>46050</v>
      </c>
      <c r="J174" s="164">
        <f t="shared" si="63"/>
        <v>46050</v>
      </c>
      <c r="K174" s="164">
        <f t="shared" si="63"/>
        <v>46050</v>
      </c>
      <c r="L174" s="164">
        <f t="shared" si="63"/>
        <v>46050</v>
      </c>
      <c r="M174" s="164">
        <f t="shared" si="63"/>
        <v>46050</v>
      </c>
      <c r="N174" s="164">
        <f t="shared" si="63"/>
        <v>46050</v>
      </c>
      <c r="O174" s="164">
        <f t="shared" si="63"/>
        <v>46050</v>
      </c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</row>
    <row r="175" spans="1:29" ht="14.25" customHeight="1">
      <c r="A175" s="167" t="s">
        <v>106</v>
      </c>
      <c r="B175" s="189">
        <v>750000</v>
      </c>
      <c r="C175" s="67"/>
      <c r="D175" s="170" t="s">
        <v>65</v>
      </c>
      <c r="E175" s="170" t="s">
        <v>66</v>
      </c>
      <c r="F175" s="29" t="s">
        <v>67</v>
      </c>
      <c r="G175" s="29" t="s">
        <v>68</v>
      </c>
      <c r="H175" s="29" t="s">
        <v>69</v>
      </c>
      <c r="I175" s="29" t="s">
        <v>70</v>
      </c>
      <c r="J175" s="29" t="s">
        <v>104</v>
      </c>
      <c r="K175" s="29" t="s">
        <v>72</v>
      </c>
      <c r="L175" s="29" t="s">
        <v>73</v>
      </c>
      <c r="M175" s="29" t="s">
        <v>74</v>
      </c>
      <c r="N175" s="29" t="s">
        <v>75</v>
      </c>
      <c r="O175" s="29" t="s">
        <v>76</v>
      </c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 spans="1:29" ht="14.25" customHeight="1">
      <c r="A176" s="178" t="s">
        <v>78</v>
      </c>
      <c r="B176" s="190">
        <v>690000</v>
      </c>
      <c r="C176" s="67">
        <f t="shared" ref="C176:C177" si="64">B176/12</f>
        <v>57500</v>
      </c>
      <c r="D176" s="67">
        <f t="shared" ref="D176:O176" si="65">C176</f>
        <v>57500</v>
      </c>
      <c r="E176" s="67">
        <f t="shared" si="65"/>
        <v>57500</v>
      </c>
      <c r="F176" s="67">
        <f t="shared" si="65"/>
        <v>57500</v>
      </c>
      <c r="G176" s="67">
        <f t="shared" si="65"/>
        <v>57500</v>
      </c>
      <c r="H176" s="67">
        <f t="shared" si="65"/>
        <v>57500</v>
      </c>
      <c r="I176" s="67">
        <f t="shared" si="65"/>
        <v>57500</v>
      </c>
      <c r="J176" s="67">
        <f t="shared" si="65"/>
        <v>57500</v>
      </c>
      <c r="K176" s="67">
        <f t="shared" si="65"/>
        <v>57500</v>
      </c>
      <c r="L176" s="67">
        <f t="shared" si="65"/>
        <v>57500</v>
      </c>
      <c r="M176" s="67">
        <f t="shared" si="65"/>
        <v>57500</v>
      </c>
      <c r="N176" s="67">
        <f t="shared" si="65"/>
        <v>57500</v>
      </c>
      <c r="O176" s="67">
        <f t="shared" si="65"/>
        <v>57500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</row>
    <row r="177" spans="1:29" ht="14.25" customHeight="1">
      <c r="A177" s="155" t="s">
        <v>101</v>
      </c>
      <c r="B177" s="191">
        <v>60000</v>
      </c>
      <c r="C177" s="67">
        <f t="shared" si="64"/>
        <v>5000</v>
      </c>
      <c r="D177" s="67"/>
      <c r="E177" s="67"/>
      <c r="F177" s="67">
        <f>C177</f>
        <v>5000</v>
      </c>
      <c r="G177" s="185">
        <v>5000</v>
      </c>
      <c r="H177" s="185">
        <v>5000</v>
      </c>
      <c r="I177" s="67">
        <f t="shared" ref="I177:O177" si="66">F177</f>
        <v>5000</v>
      </c>
      <c r="J177" s="67">
        <f t="shared" si="66"/>
        <v>5000</v>
      </c>
      <c r="K177" s="67">
        <f t="shared" si="66"/>
        <v>5000</v>
      </c>
      <c r="L177" s="67">
        <f t="shared" si="66"/>
        <v>5000</v>
      </c>
      <c r="M177" s="67">
        <f t="shared" si="66"/>
        <v>5000</v>
      </c>
      <c r="N177" s="67">
        <f t="shared" si="66"/>
        <v>5000</v>
      </c>
      <c r="O177" s="67">
        <f t="shared" si="66"/>
        <v>5000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</row>
    <row r="178" spans="1:29" ht="14.25" customHeight="1">
      <c r="A178" s="31" t="s">
        <v>89</v>
      </c>
      <c r="B178" s="67"/>
      <c r="C178" s="67"/>
      <c r="D178" s="126">
        <v>1950</v>
      </c>
      <c r="E178" s="126">
        <v>1950</v>
      </c>
      <c r="F178" s="126">
        <v>1950</v>
      </c>
      <c r="G178" s="126">
        <v>1950</v>
      </c>
      <c r="H178" s="126">
        <v>1950</v>
      </c>
      <c r="I178" s="126">
        <v>1950</v>
      </c>
      <c r="J178" s="126">
        <v>1950</v>
      </c>
      <c r="K178" s="126">
        <v>1950</v>
      </c>
      <c r="L178" s="126">
        <v>1950</v>
      </c>
      <c r="M178" s="126">
        <v>1950</v>
      </c>
      <c r="N178" s="126">
        <v>1950</v>
      </c>
      <c r="O178" s="126">
        <v>1950</v>
      </c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</row>
    <row r="179" spans="1:29" ht="14.25" customHeight="1">
      <c r="A179" s="31" t="s">
        <v>81</v>
      </c>
      <c r="B179" s="67"/>
      <c r="C179" s="67"/>
      <c r="D179" s="126">
        <v>200</v>
      </c>
      <c r="E179" s="126">
        <v>200</v>
      </c>
      <c r="F179" s="126">
        <v>200</v>
      </c>
      <c r="G179" s="126">
        <v>200</v>
      </c>
      <c r="H179" s="126">
        <v>200</v>
      </c>
      <c r="I179" s="126">
        <v>200</v>
      </c>
      <c r="J179" s="126">
        <v>200</v>
      </c>
      <c r="K179" s="126">
        <v>200</v>
      </c>
      <c r="L179" s="126">
        <v>200</v>
      </c>
      <c r="M179" s="126">
        <v>200</v>
      </c>
      <c r="N179" s="126">
        <v>200</v>
      </c>
      <c r="O179" s="126">
        <v>200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</row>
    <row r="180" spans="1:29" ht="14.25" customHeight="1">
      <c r="A180" s="31" t="s">
        <v>82</v>
      </c>
      <c r="B180" s="67"/>
      <c r="C180" s="67"/>
      <c r="D180" s="185">
        <v>0</v>
      </c>
      <c r="E180" s="185">
        <v>0</v>
      </c>
      <c r="F180" s="126">
        <v>0</v>
      </c>
      <c r="G180" s="126">
        <v>0</v>
      </c>
      <c r="H180" s="126">
        <v>0</v>
      </c>
      <c r="I180" s="126">
        <v>0</v>
      </c>
      <c r="J180" s="126">
        <v>0</v>
      </c>
      <c r="K180" s="126">
        <v>0</v>
      </c>
      <c r="L180" s="126">
        <v>0</v>
      </c>
      <c r="M180" s="126">
        <v>0</v>
      </c>
      <c r="N180" s="126">
        <v>0</v>
      </c>
      <c r="O180" s="126">
        <v>0</v>
      </c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</row>
    <row r="181" spans="1:29" ht="14.25" customHeight="1">
      <c r="A181" s="31" t="s">
        <v>83</v>
      </c>
      <c r="B181" s="67"/>
      <c r="C181" s="67"/>
      <c r="D181" s="126">
        <v>1800</v>
      </c>
      <c r="E181" s="126">
        <v>1800</v>
      </c>
      <c r="F181" s="126">
        <v>1800</v>
      </c>
      <c r="G181" s="126">
        <v>1800</v>
      </c>
      <c r="H181" s="126">
        <v>1800</v>
      </c>
      <c r="I181" s="126">
        <v>1800</v>
      </c>
      <c r="J181" s="126">
        <v>1800</v>
      </c>
      <c r="K181" s="126">
        <v>1800</v>
      </c>
      <c r="L181" s="126">
        <v>1800</v>
      </c>
      <c r="M181" s="126">
        <v>1800</v>
      </c>
      <c r="N181" s="126">
        <v>1800</v>
      </c>
      <c r="O181" s="126">
        <v>1800</v>
      </c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</row>
    <row r="182" spans="1:29" ht="14.25" customHeight="1">
      <c r="A182" s="31"/>
      <c r="B182" s="67"/>
      <c r="C182" s="67"/>
      <c r="D182" s="185">
        <v>0</v>
      </c>
      <c r="E182" s="185">
        <v>0</v>
      </c>
      <c r="F182" s="160">
        <v>50000</v>
      </c>
      <c r="G182" s="160">
        <v>0</v>
      </c>
      <c r="H182" s="160">
        <v>0</v>
      </c>
      <c r="I182" s="160">
        <v>0</v>
      </c>
      <c r="J182" s="160">
        <v>0</v>
      </c>
      <c r="K182" s="160">
        <v>0</v>
      </c>
      <c r="L182" s="160">
        <v>0</v>
      </c>
      <c r="M182" s="160">
        <v>0</v>
      </c>
      <c r="N182" s="160">
        <v>0</v>
      </c>
      <c r="O182" s="160">
        <v>0</v>
      </c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</row>
    <row r="183" spans="1:29" ht="14.25" customHeight="1">
      <c r="A183" s="31"/>
      <c r="B183" s="67"/>
      <c r="C183" s="67"/>
      <c r="D183" s="67"/>
      <c r="E183" s="67"/>
      <c r="F183" s="67">
        <f t="shared" ref="F183:O183" si="67">F176+F177+F182</f>
        <v>112500</v>
      </c>
      <c r="G183" s="67">
        <f t="shared" si="67"/>
        <v>62500</v>
      </c>
      <c r="H183" s="67">
        <f t="shared" si="67"/>
        <v>62500</v>
      </c>
      <c r="I183" s="67">
        <f t="shared" si="67"/>
        <v>62500</v>
      </c>
      <c r="J183" s="67">
        <f t="shared" si="67"/>
        <v>62500</v>
      </c>
      <c r="K183" s="67">
        <f t="shared" si="67"/>
        <v>62500</v>
      </c>
      <c r="L183" s="67">
        <f t="shared" si="67"/>
        <v>62500</v>
      </c>
      <c r="M183" s="67">
        <f t="shared" si="67"/>
        <v>62500</v>
      </c>
      <c r="N183" s="67">
        <f t="shared" si="67"/>
        <v>62500</v>
      </c>
      <c r="O183" s="67">
        <f t="shared" si="67"/>
        <v>62500</v>
      </c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</row>
    <row r="184" spans="1:29" ht="14.25" customHeight="1">
      <c r="A184" s="31" t="s">
        <v>85</v>
      </c>
      <c r="B184" s="67"/>
      <c r="C184" s="67"/>
      <c r="D184" s="68">
        <f t="shared" ref="D184:E184" si="68">SUM(D178:D182)</f>
        <v>3950</v>
      </c>
      <c r="E184" s="68">
        <f t="shared" si="68"/>
        <v>3950</v>
      </c>
      <c r="F184" s="185">
        <f t="shared" ref="F184:O184" si="69">SUM(F178:F181)</f>
        <v>3950</v>
      </c>
      <c r="G184" s="185">
        <f t="shared" si="69"/>
        <v>3950</v>
      </c>
      <c r="H184" s="185">
        <f t="shared" si="69"/>
        <v>3950</v>
      </c>
      <c r="I184" s="185">
        <f t="shared" si="69"/>
        <v>3950</v>
      </c>
      <c r="J184" s="185">
        <f t="shared" si="69"/>
        <v>3950</v>
      </c>
      <c r="K184" s="185">
        <f t="shared" si="69"/>
        <v>3950</v>
      </c>
      <c r="L184" s="185">
        <f t="shared" si="69"/>
        <v>3950</v>
      </c>
      <c r="M184" s="185">
        <f t="shared" si="69"/>
        <v>3950</v>
      </c>
      <c r="N184" s="185">
        <f t="shared" si="69"/>
        <v>3950</v>
      </c>
      <c r="O184" s="185">
        <f t="shared" si="69"/>
        <v>3950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</row>
    <row r="185" spans="1:29" ht="14.25" customHeight="1">
      <c r="A185" s="192"/>
      <c r="B185" s="193"/>
      <c r="C185" s="193"/>
      <c r="D185" s="193"/>
      <c r="E185" s="193"/>
      <c r="F185" s="193"/>
      <c r="G185" s="193">
        <f>F182-25</f>
        <v>49975</v>
      </c>
      <c r="H185" s="194">
        <v>49975</v>
      </c>
      <c r="I185" s="193"/>
      <c r="J185" s="193"/>
      <c r="K185" s="193"/>
      <c r="L185" s="193"/>
      <c r="M185" s="193"/>
      <c r="N185" s="193"/>
      <c r="O185" s="19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</row>
    <row r="186" spans="1:29" ht="14.25" customHeight="1">
      <c r="A186" s="192" t="s">
        <v>86</v>
      </c>
      <c r="B186" s="193"/>
      <c r="C186" s="193"/>
      <c r="D186" s="193">
        <f t="shared" ref="D186:E186" si="70">D176-D184</f>
        <v>53550</v>
      </c>
      <c r="E186" s="193">
        <f t="shared" si="70"/>
        <v>53550</v>
      </c>
      <c r="F186" s="193">
        <f>F183-F184</f>
        <v>108550</v>
      </c>
      <c r="G186" s="193">
        <f>G183-G184+G185</f>
        <v>108525</v>
      </c>
      <c r="H186" s="193">
        <f>H183-H184-H185</f>
        <v>8575</v>
      </c>
      <c r="I186" s="193">
        <f t="shared" ref="I186:O186" si="71">I183-I184</f>
        <v>58550</v>
      </c>
      <c r="J186" s="193">
        <f t="shared" si="71"/>
        <v>58550</v>
      </c>
      <c r="K186" s="193">
        <f t="shared" si="71"/>
        <v>58550</v>
      </c>
      <c r="L186" s="193">
        <f t="shared" si="71"/>
        <v>58550</v>
      </c>
      <c r="M186" s="193">
        <f t="shared" si="71"/>
        <v>58550</v>
      </c>
      <c r="N186" s="193">
        <f t="shared" si="71"/>
        <v>58550</v>
      </c>
      <c r="O186" s="193">
        <f t="shared" si="71"/>
        <v>58550</v>
      </c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</row>
    <row r="187" spans="1:29" ht="14.25" customHeight="1">
      <c r="A187" s="198"/>
      <c r="B187" s="199"/>
      <c r="C187" s="184"/>
      <c r="D187" s="23"/>
      <c r="E187" s="200"/>
      <c r="F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</row>
    <row r="188" spans="1:29" ht="14.25" customHeight="1">
      <c r="A188" s="198"/>
      <c r="B188" s="199"/>
      <c r="C188" s="184"/>
      <c r="D188" s="23"/>
      <c r="E188" s="200"/>
      <c r="F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spans="1:29" ht="14.25" customHeight="1">
      <c r="A189" s="201" t="s">
        <v>107</v>
      </c>
      <c r="B189" s="202">
        <v>600000</v>
      </c>
      <c r="C189" s="203"/>
      <c r="D189" s="203"/>
      <c r="E189" s="202">
        <v>700000</v>
      </c>
      <c r="F189" s="203"/>
      <c r="G189" s="203"/>
      <c r="H189" s="202">
        <v>750000</v>
      </c>
      <c r="I189" s="67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 spans="1:29" ht="14.25" customHeight="1">
      <c r="A190" s="185"/>
      <c r="B190" s="204" t="s">
        <v>68</v>
      </c>
      <c r="C190" s="204" t="s">
        <v>69</v>
      </c>
      <c r="D190" s="204" t="s">
        <v>70</v>
      </c>
      <c r="E190" s="205" t="s">
        <v>104</v>
      </c>
      <c r="F190" s="205" t="s">
        <v>72</v>
      </c>
      <c r="G190" s="205" t="s">
        <v>73</v>
      </c>
      <c r="H190" s="206" t="s">
        <v>74</v>
      </c>
      <c r="I190" s="206" t="s">
        <v>75</v>
      </c>
      <c r="J190" s="206" t="s">
        <v>76</v>
      </c>
      <c r="K190" s="206" t="s">
        <v>65</v>
      </c>
      <c r="L190" s="206" t="s">
        <v>66</v>
      </c>
      <c r="M190" s="206" t="s">
        <v>67</v>
      </c>
      <c r="N190" s="206" t="s">
        <v>68</v>
      </c>
      <c r="O190" s="206" t="s">
        <v>69</v>
      </c>
      <c r="P190" s="206" t="s">
        <v>70</v>
      </c>
      <c r="Q190" s="206" t="s">
        <v>104</v>
      </c>
      <c r="R190" s="206" t="s">
        <v>72</v>
      </c>
      <c r="S190" s="206" t="s">
        <v>73</v>
      </c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 spans="1:29" ht="14.25" customHeight="1">
      <c r="A191" s="207" t="s">
        <v>78</v>
      </c>
      <c r="B191" s="202">
        <v>50000</v>
      </c>
      <c r="C191" s="202">
        <v>50000</v>
      </c>
      <c r="D191" s="202">
        <v>50000</v>
      </c>
      <c r="E191" s="202">
        <v>58333.33</v>
      </c>
      <c r="F191" s="202">
        <v>58333.33</v>
      </c>
      <c r="G191" s="202">
        <v>58333.33</v>
      </c>
      <c r="H191" s="202">
        <v>58333.33</v>
      </c>
      <c r="I191" s="202">
        <v>58333.33</v>
      </c>
      <c r="J191" s="202">
        <v>58333.33</v>
      </c>
      <c r="K191" s="202">
        <v>58333.33</v>
      </c>
      <c r="L191" s="202">
        <v>58333.33</v>
      </c>
      <c r="M191" s="202">
        <v>62500</v>
      </c>
      <c r="N191" s="202">
        <v>62500</v>
      </c>
      <c r="O191" s="202">
        <v>62500</v>
      </c>
      <c r="P191" s="202">
        <v>62500</v>
      </c>
      <c r="Q191" s="202">
        <v>62500</v>
      </c>
      <c r="R191" s="202">
        <v>62500</v>
      </c>
      <c r="S191" s="202">
        <v>62500</v>
      </c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 spans="1:29" ht="14.25" customHeight="1">
      <c r="A192" s="208" t="s">
        <v>101</v>
      </c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209">
        <v>50000</v>
      </c>
      <c r="O192" s="67"/>
      <c r="P192" s="67"/>
      <c r="Q192" s="67"/>
      <c r="R192" s="67"/>
      <c r="S192" s="67"/>
      <c r="U192" s="23"/>
      <c r="V192" s="23"/>
      <c r="W192" s="23"/>
      <c r="X192" s="23"/>
      <c r="Y192" s="23"/>
      <c r="Z192" s="23"/>
      <c r="AA192" s="23"/>
      <c r="AB192" s="23"/>
      <c r="AC192" s="23"/>
    </row>
    <row r="193" spans="1:29" ht="14.25" customHeight="1">
      <c r="A193" s="207" t="s">
        <v>89</v>
      </c>
      <c r="B193" s="202">
        <v>1950</v>
      </c>
      <c r="C193" s="202">
        <v>1950</v>
      </c>
      <c r="D193" s="202">
        <v>1950</v>
      </c>
      <c r="E193" s="202">
        <v>1950</v>
      </c>
      <c r="F193" s="202">
        <v>1950</v>
      </c>
      <c r="G193" s="202">
        <v>1950</v>
      </c>
      <c r="H193" s="202">
        <v>1950</v>
      </c>
      <c r="I193" s="202">
        <v>1950</v>
      </c>
      <c r="J193" s="202">
        <v>1950</v>
      </c>
      <c r="K193" s="202">
        <v>1950</v>
      </c>
      <c r="L193" s="202">
        <v>1950</v>
      </c>
      <c r="M193" s="202">
        <v>1950</v>
      </c>
      <c r="N193" s="202">
        <v>1950</v>
      </c>
      <c r="O193" s="202">
        <v>1950</v>
      </c>
      <c r="P193" s="202">
        <v>1950</v>
      </c>
      <c r="Q193" s="202">
        <v>1950</v>
      </c>
      <c r="R193" s="202">
        <v>1950</v>
      </c>
      <c r="S193" s="202">
        <v>1950</v>
      </c>
      <c r="T193" s="23"/>
      <c r="U193" s="23"/>
      <c r="V193" s="23"/>
      <c r="W193" s="23"/>
      <c r="X193" s="23"/>
      <c r="Y193" s="23"/>
      <c r="Z193" s="23"/>
      <c r="AA193" s="23"/>
      <c r="AB193" s="23"/>
      <c r="AC193" s="23"/>
    </row>
    <row r="194" spans="1:29" ht="14.25" customHeight="1">
      <c r="A194" s="207" t="s">
        <v>83</v>
      </c>
      <c r="B194" s="202">
        <v>1800</v>
      </c>
      <c r="C194" s="202">
        <v>1800</v>
      </c>
      <c r="D194" s="202">
        <v>1800</v>
      </c>
      <c r="E194" s="202">
        <v>1800</v>
      </c>
      <c r="F194" s="202">
        <v>1800</v>
      </c>
      <c r="G194" s="202">
        <v>1800</v>
      </c>
      <c r="H194" s="202">
        <v>1800</v>
      </c>
      <c r="I194" s="202">
        <v>1800</v>
      </c>
      <c r="J194" s="202">
        <v>1800</v>
      </c>
      <c r="K194" s="202">
        <v>1800</v>
      </c>
      <c r="L194" s="202">
        <v>1800</v>
      </c>
      <c r="M194" s="202">
        <v>1800</v>
      </c>
      <c r="N194" s="202">
        <v>1800</v>
      </c>
      <c r="O194" s="202">
        <v>1800</v>
      </c>
      <c r="P194" s="202">
        <v>1800</v>
      </c>
      <c r="Q194" s="202">
        <v>1800</v>
      </c>
      <c r="R194" s="202">
        <v>1800</v>
      </c>
      <c r="S194" s="202">
        <v>1800</v>
      </c>
      <c r="T194" s="23"/>
      <c r="U194" s="23"/>
      <c r="V194" s="23"/>
      <c r="W194" s="23"/>
      <c r="X194" s="23"/>
      <c r="Y194" s="23"/>
      <c r="Z194" s="23"/>
      <c r="AA194" s="23"/>
      <c r="AB194" s="23"/>
      <c r="AC194" s="23"/>
    </row>
    <row r="195" spans="1:29" ht="14.25" customHeight="1">
      <c r="A195" s="207" t="s">
        <v>81</v>
      </c>
      <c r="B195" s="202">
        <v>200</v>
      </c>
      <c r="C195" s="202">
        <v>200</v>
      </c>
      <c r="D195" s="202">
        <v>200</v>
      </c>
      <c r="E195" s="202">
        <v>200</v>
      </c>
      <c r="F195" s="202">
        <v>200</v>
      </c>
      <c r="G195" s="202">
        <v>200</v>
      </c>
      <c r="H195" s="202">
        <v>200</v>
      </c>
      <c r="I195" s="202">
        <v>200</v>
      </c>
      <c r="J195" s="202">
        <v>200</v>
      </c>
      <c r="K195" s="202">
        <v>200</v>
      </c>
      <c r="L195" s="202">
        <v>200</v>
      </c>
      <c r="M195" s="202">
        <v>200</v>
      </c>
      <c r="N195" s="202">
        <v>200</v>
      </c>
      <c r="O195" s="202">
        <v>200</v>
      </c>
      <c r="P195" s="202">
        <v>200</v>
      </c>
      <c r="Q195" s="202">
        <v>200</v>
      </c>
      <c r="R195" s="202">
        <v>200</v>
      </c>
      <c r="S195" s="202">
        <v>200</v>
      </c>
      <c r="T195" s="23"/>
      <c r="U195" s="23"/>
      <c r="V195" s="23"/>
      <c r="W195" s="23"/>
      <c r="X195" s="23"/>
      <c r="Y195" s="23"/>
      <c r="Z195" s="23"/>
      <c r="AA195" s="23"/>
      <c r="AB195" s="23"/>
      <c r="AC195" s="23"/>
    </row>
    <row r="196" spans="1:29" ht="14.25" customHeight="1">
      <c r="A196" s="185" t="s">
        <v>82</v>
      </c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</row>
    <row r="197" spans="1:29" ht="14.25" customHeight="1">
      <c r="A197" s="207" t="s">
        <v>84</v>
      </c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67"/>
      <c r="N197" s="203"/>
      <c r="O197" s="203"/>
      <c r="P197" s="203"/>
      <c r="Q197" s="203"/>
      <c r="R197" s="203"/>
      <c r="S197" s="20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</row>
    <row r="198" spans="1:29" ht="14.25" customHeight="1">
      <c r="A198" s="185" t="s">
        <v>108</v>
      </c>
      <c r="B198" s="203"/>
      <c r="C198" s="203"/>
      <c r="D198" s="203"/>
      <c r="E198" s="203"/>
      <c r="F198" s="203"/>
      <c r="G198" s="203"/>
      <c r="H198" s="210">
        <v>4166.67</v>
      </c>
      <c r="I198" s="210">
        <v>4166.67</v>
      </c>
      <c r="J198" s="210">
        <v>4166.67</v>
      </c>
      <c r="K198" s="210">
        <v>4166.67</v>
      </c>
      <c r="L198" s="210">
        <v>4166.67</v>
      </c>
      <c r="M198" s="211">
        <v>20833.349999999999</v>
      </c>
      <c r="N198" s="212">
        <v>29192</v>
      </c>
      <c r="O198" s="212">
        <v>29192</v>
      </c>
      <c r="P198" s="203"/>
      <c r="Q198" s="203"/>
      <c r="R198" s="203"/>
      <c r="S198" s="20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</row>
    <row r="199" spans="1:29" ht="14.25" customHeight="1">
      <c r="A199" s="207" t="s">
        <v>85</v>
      </c>
      <c r="B199" s="202">
        <v>3950</v>
      </c>
      <c r="C199" s="202">
        <v>3950</v>
      </c>
      <c r="D199" s="202">
        <v>3950</v>
      </c>
      <c r="E199" s="202">
        <v>3950</v>
      </c>
      <c r="F199" s="202">
        <v>3950</v>
      </c>
      <c r="G199" s="202">
        <v>3950</v>
      </c>
      <c r="H199" s="202">
        <v>3950</v>
      </c>
      <c r="I199" s="202">
        <v>3950</v>
      </c>
      <c r="J199" s="202">
        <v>3950</v>
      </c>
      <c r="K199" s="202">
        <v>3950</v>
      </c>
      <c r="L199" s="202">
        <v>3950</v>
      </c>
      <c r="M199" s="202">
        <v>3950</v>
      </c>
      <c r="N199" s="202">
        <v>3950</v>
      </c>
      <c r="O199" s="202">
        <v>3950</v>
      </c>
      <c r="P199" s="202">
        <v>3950</v>
      </c>
      <c r="Q199" s="202">
        <v>3950</v>
      </c>
      <c r="R199" s="202">
        <v>3950</v>
      </c>
      <c r="S199" s="202">
        <v>3950</v>
      </c>
      <c r="T199" s="23"/>
      <c r="U199" s="23"/>
      <c r="V199" s="23"/>
      <c r="W199" s="23"/>
      <c r="X199" s="23"/>
      <c r="Y199" s="23"/>
      <c r="Z199" s="23"/>
      <c r="AA199" s="23"/>
      <c r="AB199" s="23"/>
      <c r="AC199" s="23"/>
    </row>
    <row r="200" spans="1:29" ht="14.25" customHeight="1">
      <c r="A200" s="213" t="s">
        <v>86</v>
      </c>
      <c r="B200" s="214">
        <v>46050</v>
      </c>
      <c r="C200" s="214">
        <v>46050</v>
      </c>
      <c r="D200" s="214">
        <v>46050</v>
      </c>
      <c r="E200" s="214">
        <v>54383.33</v>
      </c>
      <c r="F200" s="214">
        <v>54383.33</v>
      </c>
      <c r="G200" s="214">
        <v>54383.33</v>
      </c>
      <c r="H200" s="214">
        <v>54383.33</v>
      </c>
      <c r="I200" s="214">
        <v>54383.33</v>
      </c>
      <c r="J200" s="214">
        <v>54383.33</v>
      </c>
      <c r="K200" s="214">
        <v>54383.33</v>
      </c>
      <c r="L200" s="214">
        <v>54383.33</v>
      </c>
      <c r="M200" s="214">
        <f>M191+M198-M199</f>
        <v>79383.350000000006</v>
      </c>
      <c r="N200" s="215">
        <f>58550+N192-N198</f>
        <v>79358</v>
      </c>
      <c r="O200" s="214">
        <f>58550+O198</f>
        <v>87742</v>
      </c>
      <c r="P200" s="214">
        <v>58550</v>
      </c>
      <c r="Q200" s="214">
        <v>58550</v>
      </c>
      <c r="R200" s="214">
        <v>58550</v>
      </c>
      <c r="S200" s="214">
        <v>58550</v>
      </c>
      <c r="T200" s="66"/>
      <c r="U200" s="66"/>
      <c r="V200" s="66"/>
      <c r="W200" s="66"/>
      <c r="X200" s="66"/>
      <c r="Y200" s="66"/>
      <c r="Z200" s="66"/>
      <c r="AA200" s="66"/>
      <c r="AB200" s="66"/>
      <c r="AC200" s="66"/>
    </row>
    <row r="201" spans="1:29" ht="14.25" customHeight="1">
      <c r="A201" s="30"/>
      <c r="B201" s="30"/>
      <c r="C201" s="23"/>
      <c r="D201" s="184"/>
      <c r="F201" s="216"/>
      <c r="G201" s="216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</row>
    <row r="202" spans="1:29" ht="14.25" customHeight="1">
      <c r="A202" s="30"/>
      <c r="B202" s="30"/>
      <c r="C202" s="23"/>
      <c r="D202" s="184"/>
      <c r="F202" s="216"/>
      <c r="G202" s="216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</row>
    <row r="203" spans="1:29" ht="14.25" customHeight="1">
      <c r="A203" s="201" t="s">
        <v>109</v>
      </c>
      <c r="B203" s="202">
        <v>600000</v>
      </c>
      <c r="C203" s="203"/>
      <c r="D203" s="203"/>
      <c r="E203" s="202">
        <v>700000</v>
      </c>
      <c r="F203" s="203"/>
      <c r="G203" s="203"/>
      <c r="H203" s="202">
        <v>750000</v>
      </c>
      <c r="I203" s="67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</row>
    <row r="204" spans="1:29" ht="14.25" customHeight="1">
      <c r="A204" s="185"/>
      <c r="B204" s="204" t="s">
        <v>68</v>
      </c>
      <c r="C204" s="204" t="s">
        <v>69</v>
      </c>
      <c r="D204" s="204" t="s">
        <v>70</v>
      </c>
      <c r="E204" s="205" t="s">
        <v>104</v>
      </c>
      <c r="F204" s="205" t="s">
        <v>72</v>
      </c>
      <c r="G204" s="205" t="s">
        <v>73</v>
      </c>
      <c r="H204" s="206" t="s">
        <v>74</v>
      </c>
      <c r="I204" s="206" t="s">
        <v>75</v>
      </c>
      <c r="J204" s="206" t="s">
        <v>76</v>
      </c>
      <c r="K204" s="206" t="s">
        <v>65</v>
      </c>
      <c r="L204" s="206" t="s">
        <v>66</v>
      </c>
      <c r="M204" s="206" t="s">
        <v>67</v>
      </c>
      <c r="N204" s="206" t="s">
        <v>68</v>
      </c>
      <c r="O204" s="206" t="s">
        <v>69</v>
      </c>
      <c r="P204" s="206" t="s">
        <v>70</v>
      </c>
      <c r="Q204" s="206" t="s">
        <v>104</v>
      </c>
      <c r="R204" s="206" t="s">
        <v>72</v>
      </c>
      <c r="S204" s="206" t="s">
        <v>73</v>
      </c>
      <c r="T204" s="23"/>
      <c r="U204" s="23"/>
      <c r="V204" s="23"/>
      <c r="W204" s="23"/>
      <c r="X204" s="23"/>
      <c r="Y204" s="23"/>
      <c r="Z204" s="23"/>
      <c r="AA204" s="23"/>
      <c r="AB204" s="23"/>
      <c r="AC204" s="23"/>
    </row>
    <row r="205" spans="1:29" ht="14.25" customHeight="1">
      <c r="A205" s="207" t="s">
        <v>78</v>
      </c>
      <c r="B205" s="202">
        <v>50000</v>
      </c>
      <c r="C205" s="202">
        <v>50000</v>
      </c>
      <c r="D205" s="202">
        <v>50000</v>
      </c>
      <c r="E205" s="202">
        <v>58333.33</v>
      </c>
      <c r="F205" s="202">
        <v>58333.33</v>
      </c>
      <c r="G205" s="202">
        <v>58333.33</v>
      </c>
      <c r="H205" s="202">
        <v>58333.33</v>
      </c>
      <c r="I205" s="202">
        <v>58333.33</v>
      </c>
      <c r="J205" s="202">
        <v>58333.33</v>
      </c>
      <c r="K205" s="202">
        <v>58333.33</v>
      </c>
      <c r="L205" s="202">
        <v>58333.33</v>
      </c>
      <c r="M205" s="202">
        <v>62500</v>
      </c>
      <c r="N205" s="202">
        <v>62500</v>
      </c>
      <c r="O205" s="202">
        <v>62500</v>
      </c>
      <c r="P205" s="202">
        <v>62500</v>
      </c>
      <c r="Q205" s="202">
        <v>62500</v>
      </c>
      <c r="R205" s="202">
        <v>62500</v>
      </c>
      <c r="S205" s="202">
        <v>62500</v>
      </c>
      <c r="T205" s="23"/>
      <c r="U205" s="23"/>
      <c r="V205" s="23"/>
      <c r="W205" s="23"/>
      <c r="X205" s="23"/>
      <c r="Y205" s="23"/>
      <c r="Z205" s="23"/>
      <c r="AA205" s="23"/>
      <c r="AB205" s="23"/>
      <c r="AC205" s="23"/>
    </row>
    <row r="206" spans="1:29" ht="14.25" customHeight="1">
      <c r="A206" s="208" t="s">
        <v>101</v>
      </c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209">
        <v>50000</v>
      </c>
      <c r="O206" s="67"/>
      <c r="P206" s="67"/>
      <c r="Q206" s="67"/>
      <c r="R206" s="67"/>
      <c r="S206" s="67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</row>
    <row r="207" spans="1:29" ht="14.25" customHeight="1">
      <c r="A207" s="207" t="s">
        <v>89</v>
      </c>
      <c r="B207" s="202">
        <v>1950</v>
      </c>
      <c r="C207" s="202">
        <v>1950</v>
      </c>
      <c r="D207" s="202">
        <v>1950</v>
      </c>
      <c r="E207" s="202">
        <v>1950</v>
      </c>
      <c r="F207" s="202">
        <v>1950</v>
      </c>
      <c r="G207" s="202">
        <v>1950</v>
      </c>
      <c r="H207" s="202">
        <v>1950</v>
      </c>
      <c r="I207" s="202">
        <v>1950</v>
      </c>
      <c r="J207" s="202">
        <v>1950</v>
      </c>
      <c r="K207" s="202">
        <v>1950</v>
      </c>
      <c r="L207" s="202">
        <v>1950</v>
      </c>
      <c r="M207" s="202">
        <v>1950</v>
      </c>
      <c r="N207" s="202">
        <v>1950</v>
      </c>
      <c r="O207" s="202">
        <v>1950</v>
      </c>
      <c r="P207" s="202">
        <v>1950</v>
      </c>
      <c r="Q207" s="202">
        <v>1950</v>
      </c>
      <c r="R207" s="202">
        <v>1950</v>
      </c>
      <c r="S207" s="202">
        <v>1950</v>
      </c>
      <c r="T207" s="23"/>
      <c r="U207" s="23"/>
      <c r="V207" s="23"/>
      <c r="W207" s="23"/>
      <c r="X207" s="23"/>
      <c r="Y207" s="23"/>
      <c r="Z207" s="23"/>
      <c r="AA207" s="23"/>
      <c r="AB207" s="23"/>
      <c r="AC207" s="23"/>
    </row>
    <row r="208" spans="1:29" ht="14.25" customHeight="1">
      <c r="A208" s="207" t="s">
        <v>83</v>
      </c>
      <c r="B208" s="202">
        <v>1800</v>
      </c>
      <c r="C208" s="202">
        <v>1800</v>
      </c>
      <c r="D208" s="202">
        <v>1800</v>
      </c>
      <c r="E208" s="202">
        <v>1800</v>
      </c>
      <c r="F208" s="202">
        <v>1800</v>
      </c>
      <c r="G208" s="202">
        <v>1800</v>
      </c>
      <c r="H208" s="202">
        <v>1800</v>
      </c>
      <c r="I208" s="202">
        <v>1800</v>
      </c>
      <c r="J208" s="202">
        <v>1800</v>
      </c>
      <c r="K208" s="202">
        <v>1800</v>
      </c>
      <c r="L208" s="202">
        <v>1800</v>
      </c>
      <c r="M208" s="202">
        <v>1800</v>
      </c>
      <c r="N208" s="202">
        <v>1800</v>
      </c>
      <c r="O208" s="202">
        <v>1800</v>
      </c>
      <c r="P208" s="202">
        <v>1800</v>
      </c>
      <c r="Q208" s="202">
        <v>1800</v>
      </c>
      <c r="R208" s="202">
        <v>1800</v>
      </c>
      <c r="S208" s="202">
        <v>1800</v>
      </c>
      <c r="T208" s="23"/>
      <c r="U208" s="23"/>
      <c r="V208" s="23"/>
      <c r="W208" s="23"/>
      <c r="X208" s="23"/>
      <c r="Y208" s="23"/>
      <c r="Z208" s="23"/>
      <c r="AA208" s="23"/>
      <c r="AB208" s="23"/>
      <c r="AC208" s="23"/>
    </row>
    <row r="209" spans="1:29" ht="14.25" customHeight="1">
      <c r="A209" s="207" t="s">
        <v>81</v>
      </c>
      <c r="B209" s="202">
        <v>200</v>
      </c>
      <c r="C209" s="202">
        <v>200</v>
      </c>
      <c r="D209" s="202">
        <v>200</v>
      </c>
      <c r="E209" s="202">
        <v>200</v>
      </c>
      <c r="F209" s="202">
        <v>200</v>
      </c>
      <c r="G209" s="202">
        <v>200</v>
      </c>
      <c r="H209" s="202">
        <v>200</v>
      </c>
      <c r="I209" s="202">
        <v>200</v>
      </c>
      <c r="J209" s="202">
        <v>200</v>
      </c>
      <c r="K209" s="202">
        <v>200</v>
      </c>
      <c r="L209" s="202">
        <v>200</v>
      </c>
      <c r="M209" s="202">
        <v>200</v>
      </c>
      <c r="N209" s="202">
        <v>200</v>
      </c>
      <c r="O209" s="202">
        <v>200</v>
      </c>
      <c r="P209" s="202">
        <v>200</v>
      </c>
      <c r="Q209" s="202">
        <v>200</v>
      </c>
      <c r="R209" s="202">
        <v>200</v>
      </c>
      <c r="S209" s="202">
        <v>200</v>
      </c>
      <c r="T209" s="23"/>
      <c r="U209" s="23"/>
      <c r="V209" s="23"/>
      <c r="W209" s="23"/>
      <c r="X209" s="23"/>
      <c r="Y209" s="23"/>
      <c r="Z209" s="23"/>
      <c r="AA209" s="23"/>
      <c r="AB209" s="23"/>
      <c r="AC209" s="23"/>
    </row>
    <row r="210" spans="1:29" ht="14.25" customHeight="1">
      <c r="A210" s="185" t="s">
        <v>82</v>
      </c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</row>
    <row r="211" spans="1:29" ht="14.25" customHeight="1">
      <c r="A211" s="207" t="s">
        <v>84</v>
      </c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67"/>
      <c r="N211" s="203"/>
      <c r="O211" s="203"/>
      <c r="P211" s="203"/>
      <c r="Q211" s="203"/>
      <c r="R211" s="203"/>
      <c r="S211" s="20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</row>
    <row r="212" spans="1:29" ht="14.25" customHeight="1">
      <c r="A212" s="185" t="s">
        <v>108</v>
      </c>
      <c r="B212" s="203"/>
      <c r="C212" s="203"/>
      <c r="D212" s="203"/>
      <c r="E212" s="203"/>
      <c r="F212" s="203"/>
      <c r="G212" s="203"/>
      <c r="H212" s="210">
        <v>4166.67</v>
      </c>
      <c r="I212" s="210">
        <v>4166.67</v>
      </c>
      <c r="J212" s="210">
        <v>4166.67</v>
      </c>
      <c r="K212" s="210">
        <v>4166.67</v>
      </c>
      <c r="L212" s="210">
        <v>4166.67</v>
      </c>
      <c r="M212" s="211">
        <v>20833.349999999999</v>
      </c>
      <c r="N212" s="212">
        <v>29192</v>
      </c>
      <c r="O212" s="212">
        <v>29192</v>
      </c>
      <c r="P212" s="203"/>
      <c r="Q212" s="203"/>
      <c r="R212" s="203"/>
      <c r="S212" s="20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</row>
    <row r="213" spans="1:29" ht="14.25" customHeight="1">
      <c r="A213" s="207" t="s">
        <v>85</v>
      </c>
      <c r="B213" s="202">
        <v>3950</v>
      </c>
      <c r="C213" s="202">
        <v>3950</v>
      </c>
      <c r="D213" s="202">
        <v>3950</v>
      </c>
      <c r="E213" s="202">
        <v>3950</v>
      </c>
      <c r="F213" s="202">
        <v>3950</v>
      </c>
      <c r="G213" s="202">
        <v>3950</v>
      </c>
      <c r="H213" s="202">
        <v>3950</v>
      </c>
      <c r="I213" s="202">
        <v>3950</v>
      </c>
      <c r="J213" s="202">
        <v>3950</v>
      </c>
      <c r="K213" s="202">
        <v>3950</v>
      </c>
      <c r="L213" s="202">
        <v>3950</v>
      </c>
      <c r="M213" s="202">
        <v>3950</v>
      </c>
      <c r="N213" s="202">
        <v>3950</v>
      </c>
      <c r="O213" s="202">
        <v>3950</v>
      </c>
      <c r="P213" s="202">
        <v>3950</v>
      </c>
      <c r="Q213" s="202">
        <v>3950</v>
      </c>
      <c r="R213" s="202">
        <v>3950</v>
      </c>
      <c r="S213" s="202">
        <v>3950</v>
      </c>
      <c r="T213" s="23"/>
      <c r="U213" s="23"/>
      <c r="V213" s="23"/>
      <c r="W213" s="23"/>
      <c r="X213" s="23"/>
      <c r="Y213" s="23"/>
      <c r="Z213" s="23"/>
      <c r="AA213" s="23"/>
      <c r="AB213" s="23"/>
      <c r="AC213" s="23"/>
    </row>
    <row r="214" spans="1:29" ht="14.25" customHeight="1">
      <c r="A214" s="213" t="s">
        <v>86</v>
      </c>
      <c r="B214" s="214">
        <v>46050</v>
      </c>
      <c r="C214" s="214">
        <v>46050</v>
      </c>
      <c r="D214" s="214">
        <v>46050</v>
      </c>
      <c r="E214" s="214">
        <v>54383.33</v>
      </c>
      <c r="F214" s="214">
        <v>54383.33</v>
      </c>
      <c r="G214" s="214">
        <v>54383.33</v>
      </c>
      <c r="H214" s="214">
        <v>54383.33</v>
      </c>
      <c r="I214" s="214">
        <v>54383.33</v>
      </c>
      <c r="J214" s="214">
        <v>54383.33</v>
      </c>
      <c r="K214" s="214">
        <v>54383.33</v>
      </c>
      <c r="L214" s="214">
        <v>54383.33</v>
      </c>
      <c r="M214" s="214">
        <f>M205+M212-M213</f>
        <v>79383.350000000006</v>
      </c>
      <c r="N214" s="215">
        <f>58550+N206-N212</f>
        <v>79358</v>
      </c>
      <c r="O214" s="214">
        <f>58550+O212</f>
        <v>87742</v>
      </c>
      <c r="P214" s="214">
        <v>58550</v>
      </c>
      <c r="Q214" s="214">
        <v>58550</v>
      </c>
      <c r="R214" s="214">
        <v>58550</v>
      </c>
      <c r="S214" s="214">
        <v>58550</v>
      </c>
      <c r="T214" s="66"/>
      <c r="U214" s="66"/>
      <c r="V214" s="66"/>
      <c r="W214" s="66"/>
      <c r="X214" s="66"/>
      <c r="Y214" s="66"/>
      <c r="Z214" s="66"/>
      <c r="AA214" s="66"/>
      <c r="AB214" s="66"/>
      <c r="AC214" s="66"/>
    </row>
    <row r="215" spans="1:29" ht="14.25" customHeight="1">
      <c r="A215" s="217"/>
      <c r="B215" s="218"/>
      <c r="C215" s="23"/>
      <c r="D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</row>
    <row r="216" spans="1:29" ht="14.25" customHeight="1">
      <c r="A216" s="30"/>
      <c r="B216" s="30"/>
      <c r="C216" s="30"/>
      <c r="D216" s="30"/>
      <c r="E216" s="30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</row>
    <row r="217" spans="1:29" ht="14.25" customHeight="1">
      <c r="A217" s="219" t="s">
        <v>110</v>
      </c>
      <c r="B217" s="220" t="s">
        <v>111</v>
      </c>
      <c r="C217" s="221" t="s">
        <v>112</v>
      </c>
      <c r="D217" s="221" t="s">
        <v>113</v>
      </c>
      <c r="E217" s="221" t="s">
        <v>114</v>
      </c>
      <c r="F217" s="221" t="s">
        <v>115</v>
      </c>
      <c r="G217" s="221" t="s">
        <v>116</v>
      </c>
      <c r="H217" s="221" t="s">
        <v>117</v>
      </c>
      <c r="I217" s="221" t="s">
        <v>76</v>
      </c>
      <c r="J217" s="221" t="s">
        <v>65</v>
      </c>
      <c r="K217" s="221" t="s">
        <v>66</v>
      </c>
      <c r="L217" s="221" t="s">
        <v>67</v>
      </c>
      <c r="M217" s="221" t="s">
        <v>68</v>
      </c>
      <c r="N217" s="221" t="s">
        <v>69</v>
      </c>
      <c r="R217" s="222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</row>
    <row r="218" spans="1:29" ht="14.25" customHeight="1">
      <c r="A218" s="223"/>
      <c r="B218" s="223"/>
      <c r="C218" s="224"/>
      <c r="D218" s="224"/>
      <c r="E218" s="224"/>
      <c r="F218" s="224"/>
      <c r="G218" s="224"/>
      <c r="H218" s="224"/>
      <c r="I218" s="224"/>
      <c r="J218" s="224"/>
      <c r="K218" s="224"/>
      <c r="L218" s="224"/>
      <c r="M218" s="224"/>
      <c r="N218" s="224"/>
      <c r="R218" s="225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</row>
    <row r="219" spans="1:29" ht="14.25" customHeight="1">
      <c r="A219" s="224" t="s">
        <v>78</v>
      </c>
      <c r="B219" s="226" t="s">
        <v>118</v>
      </c>
      <c r="C219" s="227">
        <v>56666.666669999999</v>
      </c>
      <c r="D219" s="227">
        <v>113333.3333</v>
      </c>
      <c r="E219" s="227">
        <v>113333.3333</v>
      </c>
      <c r="F219" s="227">
        <v>113333.3333</v>
      </c>
      <c r="G219" s="227">
        <v>113333.3333</v>
      </c>
      <c r="H219" s="228">
        <v>113333.3333</v>
      </c>
      <c r="I219" s="228">
        <v>113333.3333</v>
      </c>
      <c r="J219" s="228">
        <v>113333.3333</v>
      </c>
      <c r="K219" s="228">
        <v>113333.3333</v>
      </c>
      <c r="L219" s="228">
        <v>113333.3333</v>
      </c>
      <c r="M219" s="227">
        <v>113333.3333</v>
      </c>
      <c r="N219" s="227">
        <v>113333.3333</v>
      </c>
      <c r="R219" s="229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</row>
    <row r="220" spans="1:29" ht="14.25" customHeight="1">
      <c r="A220" s="230" t="s">
        <v>119</v>
      </c>
      <c r="B220" s="231" t="s">
        <v>120</v>
      </c>
      <c r="C220" s="232"/>
      <c r="D220" s="233">
        <v>20000</v>
      </c>
      <c r="E220" s="233">
        <v>20000</v>
      </c>
      <c r="F220" s="233">
        <v>20000</v>
      </c>
      <c r="G220" s="233">
        <v>20000</v>
      </c>
      <c r="H220" s="233">
        <v>20000</v>
      </c>
      <c r="I220" s="233">
        <v>20000</v>
      </c>
      <c r="J220" s="233">
        <v>20000</v>
      </c>
      <c r="K220" s="233">
        <v>20000</v>
      </c>
      <c r="L220" s="233">
        <v>20000</v>
      </c>
      <c r="M220" s="233">
        <v>20000</v>
      </c>
      <c r="N220" s="233">
        <v>20000</v>
      </c>
      <c r="R220" s="234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</row>
    <row r="221" spans="1:29" ht="14.25" customHeight="1">
      <c r="A221" s="224" t="s">
        <v>89</v>
      </c>
      <c r="B221" s="227">
        <v>23400</v>
      </c>
      <c r="C221" s="227">
        <v>1950</v>
      </c>
      <c r="D221" s="227">
        <v>1950</v>
      </c>
      <c r="E221" s="227">
        <v>1950</v>
      </c>
      <c r="F221" s="227">
        <v>1950</v>
      </c>
      <c r="G221" s="227">
        <v>1950</v>
      </c>
      <c r="H221" s="228">
        <v>1950</v>
      </c>
      <c r="I221" s="228">
        <v>1950</v>
      </c>
      <c r="J221" s="228">
        <v>1950</v>
      </c>
      <c r="K221" s="228">
        <v>1950</v>
      </c>
      <c r="L221" s="228">
        <v>1950</v>
      </c>
      <c r="M221" s="227">
        <v>1950</v>
      </c>
      <c r="N221" s="227">
        <v>1950</v>
      </c>
      <c r="R221" s="229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</row>
    <row r="222" spans="1:29" ht="14.25" customHeight="1">
      <c r="A222" s="224" t="s">
        <v>81</v>
      </c>
      <c r="B222" s="227">
        <v>2400</v>
      </c>
      <c r="C222" s="227">
        <v>200</v>
      </c>
      <c r="D222" s="227">
        <v>200</v>
      </c>
      <c r="E222" s="227">
        <v>200</v>
      </c>
      <c r="F222" s="227">
        <v>200</v>
      </c>
      <c r="G222" s="227">
        <v>200</v>
      </c>
      <c r="H222" s="228">
        <v>300</v>
      </c>
      <c r="I222" s="228">
        <v>200</v>
      </c>
      <c r="J222" s="228">
        <v>200</v>
      </c>
      <c r="K222" s="228">
        <v>200</v>
      </c>
      <c r="L222" s="228">
        <v>200</v>
      </c>
      <c r="M222" s="227">
        <v>200</v>
      </c>
      <c r="N222" s="227">
        <v>200</v>
      </c>
      <c r="R222" s="229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</row>
    <row r="223" spans="1:29" ht="14.25" customHeight="1">
      <c r="A223" s="224" t="s">
        <v>82</v>
      </c>
      <c r="B223" s="227">
        <v>0</v>
      </c>
      <c r="C223" s="224"/>
      <c r="D223" s="235">
        <v>10184</v>
      </c>
      <c r="E223" s="235">
        <v>10184</v>
      </c>
      <c r="F223" s="235">
        <v>10184</v>
      </c>
      <c r="G223" s="235">
        <v>10184</v>
      </c>
      <c r="H223" s="235">
        <v>10184</v>
      </c>
      <c r="I223" s="235">
        <v>10184</v>
      </c>
      <c r="J223" s="236">
        <v>9425</v>
      </c>
      <c r="K223" s="236">
        <v>9425</v>
      </c>
      <c r="L223" s="236">
        <v>9425</v>
      </c>
      <c r="M223" s="236">
        <v>9425</v>
      </c>
      <c r="N223" s="236">
        <v>9425</v>
      </c>
      <c r="R223" s="225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</row>
    <row r="224" spans="1:29" ht="14.25" customHeight="1">
      <c r="A224" s="224" t="s">
        <v>83</v>
      </c>
      <c r="B224" s="227">
        <v>21600</v>
      </c>
      <c r="C224" s="227">
        <v>1800</v>
      </c>
      <c r="D224" s="227">
        <v>1800</v>
      </c>
      <c r="E224" s="227">
        <v>1800</v>
      </c>
      <c r="F224" s="227">
        <v>1800</v>
      </c>
      <c r="G224" s="227">
        <v>1800</v>
      </c>
      <c r="H224" s="228">
        <v>1800</v>
      </c>
      <c r="I224" s="228">
        <v>1800</v>
      </c>
      <c r="J224" s="228">
        <v>1800</v>
      </c>
      <c r="K224" s="228">
        <v>1800</v>
      </c>
      <c r="L224" s="228">
        <v>1800</v>
      </c>
      <c r="M224" s="227">
        <v>1800</v>
      </c>
      <c r="N224" s="227">
        <v>1800</v>
      </c>
      <c r="R224" s="229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</row>
    <row r="225" spans="1:29" ht="14.25" customHeight="1">
      <c r="A225" s="224" t="s">
        <v>84</v>
      </c>
      <c r="B225" s="227">
        <v>0</v>
      </c>
      <c r="C225" s="224"/>
      <c r="D225" s="224"/>
      <c r="E225" s="224"/>
      <c r="F225" s="224"/>
      <c r="G225" s="224"/>
      <c r="H225" s="160">
        <v>3777</v>
      </c>
      <c r="I225" s="156"/>
      <c r="J225" s="156"/>
      <c r="K225" s="156"/>
      <c r="L225" s="156"/>
      <c r="M225" s="224"/>
      <c r="N225" s="224"/>
      <c r="R225" s="225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</row>
    <row r="226" spans="1:29" ht="14.25" customHeight="1">
      <c r="A226" s="223"/>
      <c r="B226" s="223"/>
      <c r="C226" s="224"/>
      <c r="D226" s="227">
        <v>133333.3333</v>
      </c>
      <c r="E226" s="227">
        <v>133333.3333</v>
      </c>
      <c r="F226" s="227">
        <v>133333.3333</v>
      </c>
      <c r="G226" s="227">
        <v>133333.3333</v>
      </c>
      <c r="H226" s="228">
        <v>133333.3333</v>
      </c>
      <c r="I226" s="228">
        <v>133333.3333</v>
      </c>
      <c r="J226" s="228">
        <v>133333.3333</v>
      </c>
      <c r="K226" s="228">
        <v>133333.3333</v>
      </c>
      <c r="L226" s="228">
        <v>133333.3333</v>
      </c>
      <c r="M226" s="227">
        <v>133333.3333</v>
      </c>
      <c r="N226" s="227">
        <v>133333.3333</v>
      </c>
      <c r="R226" s="229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</row>
    <row r="227" spans="1:29" ht="14.25" customHeight="1">
      <c r="A227" s="237" t="s">
        <v>85</v>
      </c>
      <c r="B227" s="238">
        <v>47400</v>
      </c>
      <c r="C227" s="238">
        <v>3950</v>
      </c>
      <c r="D227" s="238">
        <f t="shared" ref="D227:G227" si="72">D221+D222+D223+D224</f>
        <v>14134</v>
      </c>
      <c r="E227" s="238">
        <f t="shared" si="72"/>
        <v>14134</v>
      </c>
      <c r="F227" s="238">
        <f t="shared" si="72"/>
        <v>14134</v>
      </c>
      <c r="G227" s="238">
        <f t="shared" si="72"/>
        <v>14134</v>
      </c>
      <c r="H227" s="238">
        <f>H221+H222+H223+H224+H225</f>
        <v>18011</v>
      </c>
      <c r="I227" s="238">
        <f t="shared" ref="I227:N227" si="73">I221+I222+I223+I224</f>
        <v>14134</v>
      </c>
      <c r="J227" s="238">
        <f t="shared" si="73"/>
        <v>13375</v>
      </c>
      <c r="K227" s="238">
        <f t="shared" si="73"/>
        <v>13375</v>
      </c>
      <c r="L227" s="238">
        <f t="shared" si="73"/>
        <v>13375</v>
      </c>
      <c r="M227" s="238">
        <f t="shared" si="73"/>
        <v>13375</v>
      </c>
      <c r="N227" s="238">
        <f t="shared" si="73"/>
        <v>13375</v>
      </c>
      <c r="R227" s="239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</row>
    <row r="228" spans="1:29" ht="14.25" customHeight="1">
      <c r="A228" s="240" t="s">
        <v>86</v>
      </c>
      <c r="B228" s="241"/>
      <c r="C228" s="242">
        <v>52716.666669999999</v>
      </c>
      <c r="D228" s="242">
        <f t="shared" ref="D228:N228" si="74">D226-D227</f>
        <v>119199.3333</v>
      </c>
      <c r="E228" s="242">
        <f t="shared" si="74"/>
        <v>119199.3333</v>
      </c>
      <c r="F228" s="242">
        <f t="shared" si="74"/>
        <v>119199.3333</v>
      </c>
      <c r="G228" s="242">
        <f t="shared" si="74"/>
        <v>119199.3333</v>
      </c>
      <c r="H228" s="242">
        <f t="shared" si="74"/>
        <v>115322.3333</v>
      </c>
      <c r="I228" s="242">
        <f t="shared" si="74"/>
        <v>119199.3333</v>
      </c>
      <c r="J228" s="242">
        <f t="shared" si="74"/>
        <v>119958.3333</v>
      </c>
      <c r="K228" s="242">
        <f t="shared" si="74"/>
        <v>119958.3333</v>
      </c>
      <c r="L228" s="242">
        <f t="shared" si="74"/>
        <v>119958.3333</v>
      </c>
      <c r="M228" s="242">
        <f t="shared" si="74"/>
        <v>119958.3333</v>
      </c>
      <c r="N228" s="242">
        <f t="shared" si="74"/>
        <v>119958.3333</v>
      </c>
      <c r="R228" s="24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</row>
    <row r="229" spans="1:29" ht="14.25" customHeight="1">
      <c r="A229" s="244"/>
      <c r="B229" s="244"/>
      <c r="C229" s="244"/>
      <c r="D229" s="244"/>
      <c r="E229" s="244"/>
      <c r="F229" s="244"/>
      <c r="G229" s="244"/>
      <c r="H229" s="244"/>
      <c r="I229" s="244"/>
      <c r="J229" s="244"/>
      <c r="K229" s="244"/>
      <c r="L229" s="244"/>
      <c r="M229" s="23"/>
      <c r="N229" s="23">
        <f>N228+25</f>
        <v>119983.3333</v>
      </c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</row>
    <row r="230" spans="1:29" ht="14.25" customHeight="1">
      <c r="A230" s="245"/>
      <c r="B230" s="244"/>
      <c r="C230" s="244"/>
      <c r="D230" s="244"/>
      <c r="E230" s="244"/>
      <c r="F230" s="244"/>
      <c r="G230" s="244"/>
      <c r="H230" s="244"/>
      <c r="I230" s="244"/>
      <c r="J230" s="244"/>
      <c r="K230" s="244"/>
      <c r="L230" s="244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</row>
    <row r="231" spans="1:29" ht="14.25" customHeight="1">
      <c r="A231" s="244"/>
      <c r="B231" s="244"/>
      <c r="C231" s="244"/>
      <c r="D231" s="244"/>
      <c r="E231" s="244"/>
      <c r="F231" s="244"/>
      <c r="G231" s="244"/>
      <c r="H231" s="244"/>
      <c r="I231" s="244"/>
      <c r="J231" s="244"/>
      <c r="K231" s="244"/>
      <c r="L231" s="244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</row>
    <row r="232" spans="1:29" ht="14.25" customHeight="1">
      <c r="A232" s="246" t="s">
        <v>121</v>
      </c>
      <c r="B232" s="202">
        <v>600000</v>
      </c>
      <c r="C232" s="247"/>
      <c r="D232" s="248"/>
      <c r="E232" s="202">
        <v>700000</v>
      </c>
      <c r="F232" s="246"/>
      <c r="G232" s="246"/>
      <c r="H232" s="202">
        <v>750000</v>
      </c>
      <c r="I232" s="126"/>
      <c r="J232" s="246"/>
      <c r="K232" s="246"/>
      <c r="L232" s="246"/>
      <c r="M232" s="246"/>
      <c r="N232" s="246"/>
      <c r="O232" s="246"/>
      <c r="P232" s="246"/>
      <c r="Q232" s="246"/>
      <c r="R232" s="68"/>
      <c r="S232" s="68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</row>
    <row r="233" spans="1:29" ht="14.25" customHeight="1">
      <c r="A233" s="185"/>
      <c r="B233" s="204" t="s">
        <v>70</v>
      </c>
      <c r="C233" s="204" t="s">
        <v>104</v>
      </c>
      <c r="D233" s="204" t="s">
        <v>72</v>
      </c>
      <c r="E233" s="249" t="s">
        <v>73</v>
      </c>
      <c r="F233" s="249" t="s">
        <v>74</v>
      </c>
      <c r="G233" s="249" t="s">
        <v>75</v>
      </c>
      <c r="H233" s="206" t="s">
        <v>76</v>
      </c>
      <c r="I233" s="206" t="s">
        <v>65</v>
      </c>
      <c r="J233" s="206" t="s">
        <v>66</v>
      </c>
      <c r="K233" s="206" t="s">
        <v>67</v>
      </c>
      <c r="L233" s="206" t="s">
        <v>68</v>
      </c>
      <c r="M233" s="206" t="s">
        <v>69</v>
      </c>
      <c r="N233" s="206" t="s">
        <v>70</v>
      </c>
      <c r="O233" s="206" t="s">
        <v>104</v>
      </c>
      <c r="P233" s="206" t="s">
        <v>72</v>
      </c>
      <c r="Q233" s="206" t="s">
        <v>73</v>
      </c>
      <c r="R233" s="206" t="s">
        <v>74</v>
      </c>
      <c r="S233" s="206" t="s">
        <v>75</v>
      </c>
      <c r="T233" s="250"/>
      <c r="U233" s="250"/>
      <c r="V233" s="250"/>
      <c r="W233" s="250"/>
      <c r="X233" s="23"/>
      <c r="Y233" s="23"/>
      <c r="Z233" s="23"/>
      <c r="AA233" s="23"/>
      <c r="AB233" s="23"/>
      <c r="AC233" s="23"/>
    </row>
    <row r="234" spans="1:29" ht="14.25" customHeight="1">
      <c r="A234" s="207" t="s">
        <v>78</v>
      </c>
      <c r="B234" s="202">
        <v>50000</v>
      </c>
      <c r="C234" s="202">
        <v>50000</v>
      </c>
      <c r="D234" s="202">
        <v>50000</v>
      </c>
      <c r="E234" s="202">
        <v>58333.33</v>
      </c>
      <c r="F234" s="202">
        <v>58333.33</v>
      </c>
      <c r="G234" s="202">
        <v>58333.33</v>
      </c>
      <c r="H234" s="202">
        <v>58333.33</v>
      </c>
      <c r="I234" s="202">
        <v>58333.33</v>
      </c>
      <c r="J234" s="202">
        <v>58333.33</v>
      </c>
      <c r="K234" s="202">
        <v>62500</v>
      </c>
      <c r="L234" s="202">
        <v>62500</v>
      </c>
      <c r="M234" s="202">
        <v>62500</v>
      </c>
      <c r="N234" s="202">
        <v>62500</v>
      </c>
      <c r="O234" s="202">
        <v>62500</v>
      </c>
      <c r="P234" s="202">
        <v>62500</v>
      </c>
      <c r="Q234" s="202">
        <v>62500</v>
      </c>
      <c r="R234" s="202">
        <v>62500</v>
      </c>
      <c r="S234" s="202">
        <v>62500</v>
      </c>
      <c r="T234" s="251">
        <v>737499.99</v>
      </c>
      <c r="U234" s="251">
        <v>750000</v>
      </c>
      <c r="V234" s="250"/>
      <c r="W234" s="250"/>
      <c r="X234" s="23"/>
      <c r="Y234" s="23"/>
      <c r="Z234" s="23"/>
      <c r="AA234" s="23"/>
      <c r="AB234" s="23"/>
      <c r="AC234" s="23"/>
    </row>
    <row r="235" spans="1:29" ht="14.25" customHeight="1">
      <c r="A235" s="208" t="s">
        <v>101</v>
      </c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185">
        <v>50000</v>
      </c>
      <c r="O235" s="67"/>
      <c r="P235" s="67"/>
      <c r="Q235" s="67"/>
      <c r="R235" s="67"/>
      <c r="S235" s="67"/>
    </row>
    <row r="236" spans="1:29" ht="14.25" customHeight="1">
      <c r="A236" s="207" t="s">
        <v>89</v>
      </c>
      <c r="B236" s="252">
        <v>1950</v>
      </c>
      <c r="C236" s="252">
        <v>1950</v>
      </c>
      <c r="D236" s="252">
        <v>1950</v>
      </c>
      <c r="E236" s="202">
        <v>1950</v>
      </c>
      <c r="F236" s="202">
        <v>1950</v>
      </c>
      <c r="G236" s="202">
        <v>1950</v>
      </c>
      <c r="H236" s="202">
        <v>1950</v>
      </c>
      <c r="I236" s="202">
        <v>1950</v>
      </c>
      <c r="J236" s="202">
        <v>1950</v>
      </c>
      <c r="K236" s="202">
        <v>1950</v>
      </c>
      <c r="L236" s="202">
        <v>1950</v>
      </c>
      <c r="M236" s="202">
        <v>1950</v>
      </c>
      <c r="N236" s="202">
        <v>1950</v>
      </c>
      <c r="O236" s="202">
        <v>1950</v>
      </c>
      <c r="P236" s="202">
        <v>1950</v>
      </c>
      <c r="Q236" s="202">
        <v>1950</v>
      </c>
      <c r="R236" s="202">
        <v>1950</v>
      </c>
      <c r="S236" s="202">
        <v>1950</v>
      </c>
      <c r="T236" s="250"/>
      <c r="U236" s="250"/>
      <c r="V236" s="250"/>
      <c r="W236" s="250"/>
      <c r="X236" s="23"/>
      <c r="Y236" s="23"/>
      <c r="Z236" s="23"/>
      <c r="AA236" s="23"/>
      <c r="AB236" s="23"/>
      <c r="AC236" s="23"/>
    </row>
    <row r="237" spans="1:29" ht="14.25" customHeight="1">
      <c r="A237" s="207" t="s">
        <v>83</v>
      </c>
      <c r="B237" s="202">
        <v>1800</v>
      </c>
      <c r="C237" s="202">
        <v>1800</v>
      </c>
      <c r="D237" s="202">
        <v>1800</v>
      </c>
      <c r="E237" s="202">
        <v>1800</v>
      </c>
      <c r="F237" s="202">
        <v>1800</v>
      </c>
      <c r="G237" s="202">
        <v>1800</v>
      </c>
      <c r="H237" s="202">
        <v>1800</v>
      </c>
      <c r="I237" s="202">
        <v>1800</v>
      </c>
      <c r="J237" s="202">
        <v>1800</v>
      </c>
      <c r="K237" s="202">
        <v>1800</v>
      </c>
      <c r="L237" s="202">
        <v>1800</v>
      </c>
      <c r="M237" s="202">
        <v>1800</v>
      </c>
      <c r="N237" s="202">
        <v>1800</v>
      </c>
      <c r="O237" s="202">
        <v>1800</v>
      </c>
      <c r="P237" s="202">
        <v>1800</v>
      </c>
      <c r="Q237" s="202">
        <v>1800</v>
      </c>
      <c r="R237" s="202">
        <v>1800</v>
      </c>
      <c r="S237" s="202">
        <v>1800</v>
      </c>
      <c r="T237" s="250"/>
      <c r="U237" s="250"/>
      <c r="V237" s="250"/>
      <c r="W237" s="250"/>
      <c r="X237" s="23"/>
      <c r="Y237" s="23"/>
      <c r="Z237" s="23"/>
      <c r="AA237" s="23"/>
      <c r="AB237" s="23"/>
      <c r="AC237" s="23"/>
    </row>
    <row r="238" spans="1:29" ht="14.25" customHeight="1">
      <c r="A238" s="207" t="s">
        <v>81</v>
      </c>
      <c r="B238" s="202">
        <v>200</v>
      </c>
      <c r="C238" s="202">
        <v>200</v>
      </c>
      <c r="D238" s="202">
        <v>200</v>
      </c>
      <c r="E238" s="202">
        <v>200</v>
      </c>
      <c r="F238" s="202">
        <v>200</v>
      </c>
      <c r="G238" s="202">
        <v>200</v>
      </c>
      <c r="H238" s="202">
        <v>200</v>
      </c>
      <c r="I238" s="202">
        <v>200</v>
      </c>
      <c r="J238" s="202">
        <v>200</v>
      </c>
      <c r="K238" s="202">
        <v>200</v>
      </c>
      <c r="L238" s="202">
        <v>200</v>
      </c>
      <c r="M238" s="202">
        <v>200</v>
      </c>
      <c r="N238" s="202">
        <v>200</v>
      </c>
      <c r="O238" s="202">
        <v>200</v>
      </c>
      <c r="P238" s="202">
        <v>200</v>
      </c>
      <c r="Q238" s="202">
        <v>200</v>
      </c>
      <c r="R238" s="202">
        <v>200</v>
      </c>
      <c r="S238" s="202">
        <v>200</v>
      </c>
      <c r="T238" s="250"/>
      <c r="U238" s="250"/>
      <c r="V238" s="250"/>
      <c r="W238" s="250"/>
      <c r="X238" s="23"/>
      <c r="Y238" s="23"/>
      <c r="Z238" s="23"/>
      <c r="AA238" s="23"/>
      <c r="AB238" s="23"/>
      <c r="AC238" s="23"/>
    </row>
    <row r="239" spans="1:29" ht="14.25" customHeight="1">
      <c r="A239" s="185" t="s">
        <v>82</v>
      </c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W239" s="250"/>
      <c r="X239" s="23"/>
      <c r="Y239" s="23"/>
      <c r="Z239" s="23"/>
      <c r="AA239" s="23"/>
      <c r="AB239" s="23"/>
      <c r="AC239" s="23"/>
    </row>
    <row r="240" spans="1:29" ht="14.25" customHeight="1">
      <c r="A240" s="207" t="s">
        <v>84</v>
      </c>
      <c r="B240" s="203"/>
      <c r="C240" s="203"/>
      <c r="D240" s="203"/>
      <c r="E240" s="203"/>
      <c r="F240" s="203"/>
      <c r="G240" s="203"/>
      <c r="H240" s="203"/>
      <c r="I240" s="203"/>
      <c r="J240" s="203"/>
      <c r="K240" s="67"/>
      <c r="L240" s="253">
        <v>12475</v>
      </c>
      <c r="M240" s="253">
        <v>12475</v>
      </c>
      <c r="N240" s="203"/>
      <c r="O240" s="203"/>
      <c r="P240" s="203"/>
      <c r="Q240" s="203"/>
      <c r="R240" s="203"/>
      <c r="S240" s="203"/>
      <c r="T240" s="250"/>
      <c r="U240" s="250"/>
      <c r="V240" s="250"/>
      <c r="W240" s="250"/>
      <c r="X240" s="23"/>
      <c r="Y240" s="23"/>
      <c r="Z240" s="23"/>
      <c r="AA240" s="23"/>
      <c r="AB240" s="23"/>
      <c r="AC240" s="23"/>
    </row>
    <row r="241" spans="1:29" ht="14.25" customHeight="1">
      <c r="A241" s="185" t="s">
        <v>108</v>
      </c>
      <c r="B241" s="203"/>
      <c r="C241" s="203"/>
      <c r="D241" s="203"/>
      <c r="E241" s="203"/>
      <c r="F241" s="202"/>
      <c r="G241" s="202"/>
      <c r="H241" s="210">
        <v>4166.67</v>
      </c>
      <c r="I241" s="210">
        <v>4166.67</v>
      </c>
      <c r="J241" s="210">
        <v>4166.67</v>
      </c>
      <c r="K241" s="211">
        <v>12500.01</v>
      </c>
      <c r="L241" s="203"/>
      <c r="M241" s="203"/>
      <c r="N241" s="203"/>
      <c r="O241" s="203"/>
      <c r="P241" s="203"/>
      <c r="Q241" s="203"/>
      <c r="R241" s="203"/>
      <c r="S241" s="203"/>
      <c r="T241" s="250"/>
      <c r="U241" s="250"/>
      <c r="V241" s="250"/>
      <c r="W241" s="250"/>
      <c r="X241" s="23"/>
      <c r="Y241" s="23"/>
      <c r="Z241" s="23"/>
      <c r="AA241" s="23"/>
      <c r="AB241" s="23"/>
      <c r="AC241" s="23"/>
    </row>
    <row r="242" spans="1:29" ht="14.25" customHeight="1">
      <c r="A242" s="207" t="s">
        <v>85</v>
      </c>
      <c r="B242" s="202">
        <v>3950</v>
      </c>
      <c r="C242" s="202">
        <v>3950</v>
      </c>
      <c r="D242" s="202">
        <v>3950</v>
      </c>
      <c r="E242" s="202">
        <v>3950</v>
      </c>
      <c r="F242" s="202">
        <v>3950</v>
      </c>
      <c r="G242" s="202">
        <v>3950</v>
      </c>
      <c r="H242" s="202">
        <v>3950</v>
      </c>
      <c r="I242" s="202">
        <v>3950</v>
      </c>
      <c r="J242" s="202">
        <v>3950</v>
      </c>
      <c r="K242" s="202">
        <v>3950</v>
      </c>
      <c r="L242" s="202">
        <v>3950</v>
      </c>
      <c r="M242" s="202">
        <v>3950</v>
      </c>
      <c r="N242" s="202">
        <v>3950</v>
      </c>
      <c r="O242" s="202">
        <v>3950</v>
      </c>
      <c r="P242" s="202">
        <v>3950</v>
      </c>
      <c r="Q242" s="202">
        <v>3950</v>
      </c>
      <c r="R242" s="202">
        <v>3950</v>
      </c>
      <c r="S242" s="202">
        <v>3950</v>
      </c>
      <c r="T242" s="250"/>
      <c r="U242" s="250"/>
      <c r="V242" s="250"/>
      <c r="W242" s="23"/>
      <c r="X242" s="23"/>
      <c r="Y242" s="23"/>
      <c r="Z242" s="23"/>
      <c r="AA242" s="23"/>
      <c r="AB242" s="23"/>
      <c r="AC242" s="23"/>
    </row>
    <row r="243" spans="1:29" ht="14.25" customHeight="1">
      <c r="A243" s="213" t="s">
        <v>86</v>
      </c>
      <c r="B243" s="214">
        <v>46050</v>
      </c>
      <c r="C243" s="214">
        <v>46050</v>
      </c>
      <c r="D243" s="214">
        <v>46050</v>
      </c>
      <c r="E243" s="214">
        <v>54383.33</v>
      </c>
      <c r="F243" s="214">
        <v>54383.33</v>
      </c>
      <c r="G243" s="214">
        <v>54383.33</v>
      </c>
      <c r="H243" s="214">
        <v>54383.33</v>
      </c>
      <c r="I243" s="214">
        <v>54383.33</v>
      </c>
      <c r="J243" s="214">
        <v>54383.33</v>
      </c>
      <c r="K243" s="214">
        <f>K234+K241-K242</f>
        <v>71050.009999999995</v>
      </c>
      <c r="L243" s="215">
        <f>58550+L240</f>
        <v>71025</v>
      </c>
      <c r="M243" s="214">
        <f>58550-M240</f>
        <v>46075</v>
      </c>
      <c r="N243" s="214">
        <f>58550+N235</f>
        <v>108550</v>
      </c>
      <c r="O243" s="214">
        <v>58550</v>
      </c>
      <c r="P243" s="214">
        <v>58550</v>
      </c>
      <c r="Q243" s="214">
        <v>58550</v>
      </c>
      <c r="R243" s="214">
        <v>58550</v>
      </c>
      <c r="S243" s="214">
        <v>58550</v>
      </c>
      <c r="T243" s="254"/>
      <c r="U243" s="254"/>
      <c r="V243" s="254"/>
      <c r="W243" s="66"/>
      <c r="X243" s="66"/>
      <c r="Y243" s="66"/>
      <c r="Z243" s="66"/>
      <c r="AA243" s="66"/>
      <c r="AB243" s="66"/>
      <c r="AC243" s="66"/>
    </row>
    <row r="244" spans="1:29" ht="14.25" customHeight="1">
      <c r="A244" s="244"/>
      <c r="B244" s="244"/>
      <c r="C244" s="244"/>
      <c r="D244" s="244"/>
      <c r="E244" s="244"/>
      <c r="F244" s="244"/>
      <c r="G244" s="244"/>
      <c r="H244" s="244"/>
      <c r="I244" s="244"/>
      <c r="J244" s="244"/>
      <c r="K244" s="244"/>
      <c r="L244" s="244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</row>
    <row r="245" spans="1:29" ht="14.25" customHeight="1">
      <c r="A245" s="244"/>
      <c r="B245" s="244"/>
      <c r="C245" s="244"/>
      <c r="D245" s="244"/>
      <c r="E245" s="244"/>
      <c r="F245" s="244"/>
      <c r="G245" s="244"/>
      <c r="H245" s="244"/>
      <c r="I245" s="244"/>
      <c r="J245" s="244"/>
      <c r="K245" s="244"/>
      <c r="L245" s="244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</row>
    <row r="246" spans="1:29" ht="14.25" customHeight="1">
      <c r="A246" s="244"/>
      <c r="B246" s="244"/>
      <c r="C246" s="244"/>
      <c r="D246" s="244"/>
      <c r="E246" s="244"/>
      <c r="F246" s="244"/>
      <c r="G246" s="244"/>
      <c r="H246" s="244"/>
      <c r="I246" s="244"/>
      <c r="J246" s="244"/>
      <c r="K246" s="244"/>
      <c r="L246" s="244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</row>
    <row r="247" spans="1:29" ht="14.25" customHeight="1">
      <c r="A247" s="244"/>
      <c r="B247" s="244"/>
      <c r="C247" s="244"/>
      <c r="D247" s="244"/>
      <c r="E247" s="244"/>
      <c r="F247" s="244"/>
      <c r="G247" s="244"/>
      <c r="H247" s="244"/>
      <c r="I247" s="244"/>
      <c r="J247" s="244"/>
      <c r="K247" s="244"/>
      <c r="L247" s="244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</row>
    <row r="248" spans="1:29" ht="14.25" customHeight="1">
      <c r="A248" s="255" t="s">
        <v>37</v>
      </c>
      <c r="B248" s="256">
        <f>B249+B250</f>
        <v>1600000</v>
      </c>
      <c r="C248" s="224"/>
      <c r="D248" s="255" t="s">
        <v>69</v>
      </c>
      <c r="E248" s="255" t="s">
        <v>70</v>
      </c>
      <c r="F248" s="255" t="s">
        <v>104</v>
      </c>
      <c r="G248" s="255" t="s">
        <v>72</v>
      </c>
      <c r="H248" s="255" t="s">
        <v>73</v>
      </c>
      <c r="I248" s="255" t="s">
        <v>74</v>
      </c>
      <c r="J248" s="255" t="s">
        <v>75</v>
      </c>
      <c r="K248" s="255" t="s">
        <v>76</v>
      </c>
      <c r="L248" s="255" t="s">
        <v>65</v>
      </c>
      <c r="M248" s="255" t="s">
        <v>66</v>
      </c>
      <c r="N248" s="255" t="s">
        <v>67</v>
      </c>
      <c r="O248" s="255" t="s">
        <v>68</v>
      </c>
      <c r="P248" s="255" t="s">
        <v>69</v>
      </c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</row>
    <row r="249" spans="1:29" ht="14.25" customHeight="1">
      <c r="A249" s="224" t="s">
        <v>78</v>
      </c>
      <c r="B249" s="256">
        <v>1360000</v>
      </c>
      <c r="C249" s="224">
        <f>B249/12</f>
        <v>113333.33333333333</v>
      </c>
      <c r="D249" s="224">
        <f t="shared" ref="D249:D250" si="75">B249/12</f>
        <v>113333.33333333333</v>
      </c>
      <c r="E249" s="224">
        <f t="shared" ref="E249:E250" si="76">B249/12</f>
        <v>113333.33333333333</v>
      </c>
      <c r="F249" s="224">
        <f t="shared" ref="F249:F250" si="77">B249/12</f>
        <v>113333.33333333333</v>
      </c>
      <c r="G249" s="224">
        <f t="shared" ref="G249:G250" si="78">B249/12</f>
        <v>113333.33333333333</v>
      </c>
      <c r="H249" s="224">
        <f t="shared" ref="H249:H250" si="79">B249/12</f>
        <v>113333.33333333333</v>
      </c>
      <c r="I249" s="224">
        <f t="shared" ref="I249:I250" si="80">B249/12</f>
        <v>113333.33333333333</v>
      </c>
      <c r="J249" s="224">
        <f t="shared" ref="J249:J250" si="81">B249/12</f>
        <v>113333.33333333333</v>
      </c>
      <c r="K249" s="224">
        <f t="shared" ref="K249:K250" si="82">B249/12</f>
        <v>113333.33333333333</v>
      </c>
      <c r="L249" s="224">
        <f t="shared" ref="L249:L250" si="83">B249/12</f>
        <v>113333.33333333333</v>
      </c>
      <c r="M249" s="224">
        <f t="shared" ref="M249:M250" si="84">B249/12</f>
        <v>113333.33333333333</v>
      </c>
      <c r="N249" s="224">
        <f t="shared" ref="N249:N250" si="85">B249/12</f>
        <v>113333.33333333333</v>
      </c>
      <c r="O249" s="224">
        <f t="shared" ref="O249:O250" si="86">B249/12</f>
        <v>113333.33333333333</v>
      </c>
      <c r="P249" s="224">
        <f t="shared" ref="P249:P250" si="87">B249/12</f>
        <v>113333.33333333333</v>
      </c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</row>
    <row r="250" spans="1:29" ht="14.25" customHeight="1">
      <c r="A250" s="230" t="s">
        <v>122</v>
      </c>
      <c r="B250" s="224">
        <v>240000</v>
      </c>
      <c r="C250" s="224"/>
      <c r="D250" s="224">
        <f t="shared" si="75"/>
        <v>20000</v>
      </c>
      <c r="E250" s="224">
        <f t="shared" si="76"/>
        <v>20000</v>
      </c>
      <c r="F250" s="224">
        <f t="shared" si="77"/>
        <v>20000</v>
      </c>
      <c r="G250" s="224">
        <f t="shared" si="78"/>
        <v>20000</v>
      </c>
      <c r="H250" s="224">
        <f t="shared" si="79"/>
        <v>20000</v>
      </c>
      <c r="I250" s="224">
        <f t="shared" si="80"/>
        <v>20000</v>
      </c>
      <c r="J250" s="224">
        <f t="shared" si="81"/>
        <v>20000</v>
      </c>
      <c r="K250" s="224">
        <f t="shared" si="82"/>
        <v>20000</v>
      </c>
      <c r="L250" s="224">
        <f t="shared" si="83"/>
        <v>20000</v>
      </c>
      <c r="M250" s="224">
        <f t="shared" si="84"/>
        <v>20000</v>
      </c>
      <c r="N250" s="224">
        <f t="shared" si="85"/>
        <v>20000</v>
      </c>
      <c r="O250" s="224">
        <f t="shared" si="86"/>
        <v>20000</v>
      </c>
      <c r="P250" s="224">
        <f t="shared" si="87"/>
        <v>20000</v>
      </c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</row>
    <row r="251" spans="1:29" ht="14.25" customHeight="1">
      <c r="A251" s="224" t="s">
        <v>89</v>
      </c>
      <c r="B251" s="68"/>
      <c r="C251" s="224"/>
      <c r="D251" s="224">
        <v>1950</v>
      </c>
      <c r="E251" s="224">
        <v>1950</v>
      </c>
      <c r="F251" s="224">
        <v>1950</v>
      </c>
      <c r="G251" s="224">
        <v>1950</v>
      </c>
      <c r="H251" s="224">
        <v>1950</v>
      </c>
      <c r="I251" s="224">
        <v>1950</v>
      </c>
      <c r="J251" s="224">
        <v>1950</v>
      </c>
      <c r="K251" s="224">
        <v>1950</v>
      </c>
      <c r="L251" s="224">
        <v>1950</v>
      </c>
      <c r="M251" s="224">
        <v>1950</v>
      </c>
      <c r="N251" s="224">
        <v>1950</v>
      </c>
      <c r="O251" s="224">
        <v>1950</v>
      </c>
      <c r="P251" s="224">
        <v>1950</v>
      </c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</row>
    <row r="252" spans="1:29" ht="14.25" customHeight="1">
      <c r="A252" s="224" t="s">
        <v>81</v>
      </c>
      <c r="B252" s="68"/>
      <c r="C252" s="224"/>
      <c r="D252" s="224">
        <v>200</v>
      </c>
      <c r="E252" s="224">
        <v>200</v>
      </c>
      <c r="F252" s="224">
        <v>200</v>
      </c>
      <c r="G252" s="224">
        <v>200</v>
      </c>
      <c r="H252" s="224">
        <v>200</v>
      </c>
      <c r="I252" s="224">
        <v>200</v>
      </c>
      <c r="J252" s="224">
        <v>300</v>
      </c>
      <c r="K252" s="224">
        <v>200</v>
      </c>
      <c r="L252" s="224">
        <v>200</v>
      </c>
      <c r="M252" s="224">
        <v>200</v>
      </c>
      <c r="N252" s="224">
        <v>200</v>
      </c>
      <c r="O252" s="224">
        <v>200</v>
      </c>
      <c r="P252" s="224">
        <v>200</v>
      </c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</row>
    <row r="253" spans="1:29" ht="14.25" customHeight="1">
      <c r="A253" s="224" t="s">
        <v>82</v>
      </c>
      <c r="B253" s="68"/>
      <c r="C253" s="224"/>
      <c r="D253" s="224">
        <v>5200</v>
      </c>
      <c r="E253" s="224">
        <v>5200</v>
      </c>
      <c r="F253" s="224">
        <v>5200</v>
      </c>
      <c r="G253" s="224">
        <v>5200</v>
      </c>
      <c r="H253" s="224">
        <v>5200</v>
      </c>
      <c r="I253" s="224">
        <v>5200</v>
      </c>
      <c r="J253" s="224">
        <v>5200</v>
      </c>
      <c r="K253" s="224">
        <v>5200</v>
      </c>
      <c r="L253" s="224">
        <v>9425</v>
      </c>
      <c r="M253" s="224">
        <v>9425</v>
      </c>
      <c r="N253" s="224">
        <v>9425</v>
      </c>
      <c r="O253" s="224">
        <v>9425</v>
      </c>
      <c r="P253" s="224">
        <v>9425</v>
      </c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</row>
    <row r="254" spans="1:29" ht="14.25" customHeight="1">
      <c r="A254" s="224" t="s">
        <v>83</v>
      </c>
      <c r="B254" s="68"/>
      <c r="C254" s="224"/>
      <c r="D254" s="224">
        <v>1800</v>
      </c>
      <c r="E254" s="224">
        <v>1800</v>
      </c>
      <c r="F254" s="224">
        <v>1800</v>
      </c>
      <c r="G254" s="224">
        <v>1800</v>
      </c>
      <c r="H254" s="224">
        <v>1800</v>
      </c>
      <c r="I254" s="224">
        <v>1800</v>
      </c>
      <c r="J254" s="224">
        <v>1800</v>
      </c>
      <c r="K254" s="224">
        <v>1800</v>
      </c>
      <c r="L254" s="224">
        <v>1800</v>
      </c>
      <c r="M254" s="224">
        <v>1800</v>
      </c>
      <c r="N254" s="224">
        <v>1800</v>
      </c>
      <c r="O254" s="224">
        <v>1800</v>
      </c>
      <c r="P254" s="224">
        <v>1800</v>
      </c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</row>
    <row r="255" spans="1:29" ht="14.25" customHeight="1">
      <c r="A255" s="224" t="s">
        <v>84</v>
      </c>
      <c r="B255" s="68"/>
      <c r="C255" s="224"/>
      <c r="D255" s="224"/>
      <c r="E255" s="224"/>
      <c r="F255" s="224"/>
      <c r="G255" s="224"/>
      <c r="H255" s="224"/>
      <c r="I255" s="224"/>
      <c r="J255" s="224"/>
      <c r="K255" s="224"/>
      <c r="L255" s="224"/>
      <c r="M255" s="224"/>
      <c r="N255" s="224"/>
      <c r="O255" s="224"/>
      <c r="P255" s="224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</row>
    <row r="256" spans="1:29" ht="14.25" customHeight="1">
      <c r="A256" s="223"/>
      <c r="B256" s="68"/>
      <c r="C256" s="224"/>
      <c r="D256" s="224"/>
      <c r="E256" s="224"/>
      <c r="F256" s="224"/>
      <c r="G256" s="224"/>
      <c r="H256" s="224"/>
      <c r="I256" s="224"/>
      <c r="J256" s="224">
        <f>J249+J250</f>
        <v>133333.33333333331</v>
      </c>
      <c r="K256" s="224"/>
      <c r="L256" s="224"/>
      <c r="M256" s="224"/>
      <c r="N256" s="224"/>
      <c r="O256" s="224"/>
      <c r="P256" s="224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</row>
    <row r="257" spans="1:29" ht="14.25" customHeight="1">
      <c r="A257" s="257" t="s">
        <v>85</v>
      </c>
      <c r="B257" s="258"/>
      <c r="C257" s="257"/>
      <c r="D257" s="257">
        <f t="shared" ref="D257:P257" si="88">D251+D252+D253+D254</f>
        <v>9150</v>
      </c>
      <c r="E257" s="257">
        <f t="shared" si="88"/>
        <v>9150</v>
      </c>
      <c r="F257" s="257">
        <f t="shared" si="88"/>
        <v>9150</v>
      </c>
      <c r="G257" s="257">
        <f t="shared" si="88"/>
        <v>9150</v>
      </c>
      <c r="H257" s="257">
        <f t="shared" si="88"/>
        <v>9150</v>
      </c>
      <c r="I257" s="257">
        <f t="shared" si="88"/>
        <v>9150</v>
      </c>
      <c r="J257" s="257">
        <f t="shared" si="88"/>
        <v>9250</v>
      </c>
      <c r="K257" s="257">
        <f t="shared" si="88"/>
        <v>9150</v>
      </c>
      <c r="L257" s="257">
        <f t="shared" si="88"/>
        <v>13375</v>
      </c>
      <c r="M257" s="257">
        <f t="shared" si="88"/>
        <v>13375</v>
      </c>
      <c r="N257" s="257">
        <f t="shared" si="88"/>
        <v>13375</v>
      </c>
      <c r="O257" s="257">
        <f t="shared" si="88"/>
        <v>13375</v>
      </c>
      <c r="P257" s="257">
        <f t="shared" si="88"/>
        <v>13375</v>
      </c>
      <c r="Q257" s="259"/>
      <c r="R257" s="259"/>
      <c r="S257" s="259"/>
      <c r="T257" s="259"/>
      <c r="U257" s="259"/>
      <c r="V257" s="259"/>
      <c r="W257" s="259"/>
      <c r="X257" s="259"/>
      <c r="Y257" s="259"/>
      <c r="Z257" s="259"/>
      <c r="AA257" s="259"/>
      <c r="AB257" s="259"/>
      <c r="AC257" s="259"/>
    </row>
    <row r="258" spans="1:29" ht="14.25" customHeight="1">
      <c r="A258" s="240" t="s">
        <v>86</v>
      </c>
      <c r="B258" s="260">
        <f>B249</f>
        <v>1360000</v>
      </c>
      <c r="C258" s="240"/>
      <c r="D258" s="240">
        <f t="shared" ref="D258:P258" si="89">D249-D257+D250</f>
        <v>124183.33333333333</v>
      </c>
      <c r="E258" s="240">
        <f t="shared" si="89"/>
        <v>124183.33333333333</v>
      </c>
      <c r="F258" s="240">
        <f t="shared" si="89"/>
        <v>124183.33333333333</v>
      </c>
      <c r="G258" s="240">
        <f t="shared" si="89"/>
        <v>124183.33333333333</v>
      </c>
      <c r="H258" s="240">
        <f t="shared" si="89"/>
        <v>124183.33333333333</v>
      </c>
      <c r="I258" s="240">
        <f t="shared" si="89"/>
        <v>124183.33333333333</v>
      </c>
      <c r="J258" s="240">
        <f t="shared" si="89"/>
        <v>124083.33333333333</v>
      </c>
      <c r="K258" s="240">
        <f t="shared" si="89"/>
        <v>124183.33333333333</v>
      </c>
      <c r="L258" s="240">
        <f t="shared" si="89"/>
        <v>119958.33333333333</v>
      </c>
      <c r="M258" s="240">
        <f t="shared" si="89"/>
        <v>119958.33333333333</v>
      </c>
      <c r="N258" s="240">
        <f t="shared" si="89"/>
        <v>119958.33333333333</v>
      </c>
      <c r="O258" s="240">
        <f t="shared" si="89"/>
        <v>119958.33333333333</v>
      </c>
      <c r="P258" s="240">
        <f t="shared" si="89"/>
        <v>119958.33333333333</v>
      </c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  <c r="AA258" s="261"/>
      <c r="AB258" s="261"/>
      <c r="AC258" s="261"/>
    </row>
    <row r="259" spans="1:29" ht="14.25" customHeight="1">
      <c r="A259" s="244"/>
      <c r="B259" s="244"/>
      <c r="C259" s="244"/>
      <c r="D259" s="244"/>
      <c r="E259" s="244"/>
      <c r="F259" s="244"/>
      <c r="G259" s="244"/>
      <c r="H259" s="244"/>
      <c r="I259" s="244"/>
      <c r="J259" s="244"/>
      <c r="K259" s="244"/>
      <c r="L259" s="244"/>
      <c r="M259" s="23"/>
      <c r="N259" s="23"/>
      <c r="O259" s="23"/>
      <c r="P259" s="23">
        <f>P258+25</f>
        <v>119983.33333333333</v>
      </c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</row>
    <row r="260" spans="1:29" ht="14.25" customHeight="1">
      <c r="A260" s="244"/>
      <c r="B260" s="244"/>
      <c r="C260" s="244"/>
      <c r="D260" s="244"/>
      <c r="E260" s="244"/>
      <c r="F260" s="244"/>
      <c r="G260" s="244"/>
      <c r="H260" s="244"/>
      <c r="I260" s="244"/>
      <c r="J260" s="244"/>
      <c r="K260" s="244"/>
      <c r="L260" s="244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</row>
    <row r="261" spans="1:29" ht="14.25" customHeight="1">
      <c r="A261" s="149" t="s">
        <v>123</v>
      </c>
      <c r="B261" s="149">
        <v>350000</v>
      </c>
      <c r="C261" s="262"/>
      <c r="D261" s="255" t="s">
        <v>116</v>
      </c>
      <c r="E261" s="255" t="s">
        <v>117</v>
      </c>
      <c r="F261" s="255" t="s">
        <v>76</v>
      </c>
      <c r="G261" s="255" t="s">
        <v>65</v>
      </c>
      <c r="H261" s="255" t="s">
        <v>66</v>
      </c>
      <c r="I261" s="255" t="s">
        <v>67</v>
      </c>
      <c r="J261" s="255" t="s">
        <v>68</v>
      </c>
      <c r="K261" s="255" t="s">
        <v>69</v>
      </c>
      <c r="L261" s="255" t="s">
        <v>77</v>
      </c>
      <c r="M261" s="149" t="s">
        <v>113</v>
      </c>
      <c r="N261" s="149" t="s">
        <v>114</v>
      </c>
      <c r="O261" s="149" t="s">
        <v>115</v>
      </c>
      <c r="P261" s="263"/>
      <c r="Q261" s="263"/>
      <c r="R261" s="263"/>
      <c r="S261" s="263"/>
      <c r="T261" s="263"/>
      <c r="U261" s="263"/>
      <c r="V261" s="263"/>
      <c r="W261" s="263"/>
      <c r="X261" s="263"/>
      <c r="Y261" s="263"/>
      <c r="Z261" s="263"/>
      <c r="AA261" s="263"/>
      <c r="AB261" s="263"/>
      <c r="AC261" s="263"/>
    </row>
    <row r="262" spans="1:29" ht="14.25" customHeight="1">
      <c r="A262" s="224" t="s">
        <v>78</v>
      </c>
      <c r="B262" s="68">
        <f>C262*12</f>
        <v>300000</v>
      </c>
      <c r="C262" s="227">
        <v>25000</v>
      </c>
      <c r="D262" s="227">
        <v>25000</v>
      </c>
      <c r="E262" s="227">
        <v>25000</v>
      </c>
      <c r="F262" s="227">
        <v>25000</v>
      </c>
      <c r="G262" s="227">
        <v>25000</v>
      </c>
      <c r="H262" s="227">
        <v>25000</v>
      </c>
      <c r="I262" s="227">
        <v>25000</v>
      </c>
      <c r="J262" s="227">
        <v>25000</v>
      </c>
      <c r="K262" s="227">
        <v>25000</v>
      </c>
      <c r="L262" s="227">
        <v>25000</v>
      </c>
      <c r="M262" s="227">
        <v>25000</v>
      </c>
      <c r="N262" s="227">
        <v>25000</v>
      </c>
      <c r="O262" s="227">
        <v>25000</v>
      </c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</row>
    <row r="263" spans="1:29" ht="14.25" customHeight="1">
      <c r="A263" s="230" t="s">
        <v>122</v>
      </c>
      <c r="B263" s="126">
        <v>50000</v>
      </c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126">
        <v>50000</v>
      </c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</row>
    <row r="264" spans="1:29" ht="14.25" customHeight="1">
      <c r="A264" s="224" t="s">
        <v>89</v>
      </c>
      <c r="B264" s="68"/>
      <c r="C264" s="126">
        <v>1625</v>
      </c>
      <c r="D264" s="126">
        <v>1625</v>
      </c>
      <c r="E264" s="126">
        <v>1625</v>
      </c>
      <c r="F264" s="126">
        <v>1625</v>
      </c>
      <c r="G264" s="126">
        <v>1625</v>
      </c>
      <c r="H264" s="126">
        <v>1625</v>
      </c>
      <c r="I264" s="126">
        <v>1625</v>
      </c>
      <c r="J264" s="126">
        <v>1625</v>
      </c>
      <c r="K264" s="126">
        <v>1625</v>
      </c>
      <c r="L264" s="126">
        <v>1625</v>
      </c>
      <c r="M264" s="126">
        <v>1625</v>
      </c>
      <c r="N264" s="126">
        <v>1625</v>
      </c>
      <c r="O264" s="126">
        <v>1625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</row>
    <row r="265" spans="1:29" ht="14.25" customHeight="1">
      <c r="A265" s="224" t="s">
        <v>81</v>
      </c>
      <c r="B265" s="68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</row>
    <row r="266" spans="1:29" ht="14.25" customHeight="1">
      <c r="A266" s="224" t="s">
        <v>82</v>
      </c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</row>
    <row r="267" spans="1:29" ht="14.25" customHeight="1">
      <c r="A267" s="224" t="s">
        <v>83</v>
      </c>
      <c r="B267" s="68"/>
      <c r="C267" s="126">
        <v>1500</v>
      </c>
      <c r="D267" s="126">
        <v>1500</v>
      </c>
      <c r="E267" s="126">
        <v>1500</v>
      </c>
      <c r="F267" s="126">
        <v>1500</v>
      </c>
      <c r="G267" s="126">
        <v>1500</v>
      </c>
      <c r="H267" s="126">
        <v>1500</v>
      </c>
      <c r="I267" s="126">
        <v>1500</v>
      </c>
      <c r="J267" s="126">
        <v>1500</v>
      </c>
      <c r="K267" s="126">
        <v>1500</v>
      </c>
      <c r="L267" s="126">
        <v>1500</v>
      </c>
      <c r="M267" s="126">
        <v>1500</v>
      </c>
      <c r="N267" s="126">
        <v>1500</v>
      </c>
      <c r="O267" s="126">
        <v>1500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</row>
    <row r="268" spans="1:29" ht="14.25" customHeight="1">
      <c r="A268" s="224" t="s">
        <v>84</v>
      </c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</row>
    <row r="269" spans="1:29" ht="14.25" customHeight="1">
      <c r="A269" s="223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</row>
    <row r="270" spans="1:29" ht="14.25" customHeight="1">
      <c r="A270" s="237" t="s">
        <v>85</v>
      </c>
      <c r="B270" s="68"/>
      <c r="C270" s="68">
        <f t="shared" ref="C270:O270" si="90">C264+C265+C267</f>
        <v>3125</v>
      </c>
      <c r="D270" s="68">
        <f t="shared" si="90"/>
        <v>3125</v>
      </c>
      <c r="E270" s="68">
        <f t="shared" si="90"/>
        <v>3125</v>
      </c>
      <c r="F270" s="68">
        <f t="shared" si="90"/>
        <v>3125</v>
      </c>
      <c r="G270" s="68">
        <f t="shared" si="90"/>
        <v>3125</v>
      </c>
      <c r="H270" s="68">
        <f t="shared" si="90"/>
        <v>3125</v>
      </c>
      <c r="I270" s="68">
        <f t="shared" si="90"/>
        <v>3125</v>
      </c>
      <c r="J270" s="68">
        <f t="shared" si="90"/>
        <v>3125</v>
      </c>
      <c r="K270" s="68">
        <f t="shared" si="90"/>
        <v>3125</v>
      </c>
      <c r="L270" s="68">
        <f t="shared" si="90"/>
        <v>3125</v>
      </c>
      <c r="M270" s="68">
        <f t="shared" si="90"/>
        <v>3125</v>
      </c>
      <c r="N270" s="68">
        <f t="shared" si="90"/>
        <v>3125</v>
      </c>
      <c r="O270" s="68">
        <f t="shared" si="90"/>
        <v>3125</v>
      </c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</row>
    <row r="271" spans="1:29" ht="14.25" customHeight="1">
      <c r="A271" s="240" t="s">
        <v>86</v>
      </c>
      <c r="B271" s="264"/>
      <c r="C271" s="264">
        <f t="shared" ref="C271:N271" si="91">C262-C270</f>
        <v>21875</v>
      </c>
      <c r="D271" s="264">
        <f t="shared" si="91"/>
        <v>21875</v>
      </c>
      <c r="E271" s="264">
        <f t="shared" si="91"/>
        <v>21875</v>
      </c>
      <c r="F271" s="264">
        <f t="shared" si="91"/>
        <v>21875</v>
      </c>
      <c r="G271" s="264">
        <f t="shared" si="91"/>
        <v>21875</v>
      </c>
      <c r="H271" s="264">
        <f t="shared" si="91"/>
        <v>21875</v>
      </c>
      <c r="I271" s="264">
        <f t="shared" si="91"/>
        <v>21875</v>
      </c>
      <c r="J271" s="264">
        <f t="shared" si="91"/>
        <v>21875</v>
      </c>
      <c r="K271" s="264">
        <f t="shared" si="91"/>
        <v>21875</v>
      </c>
      <c r="L271" s="264">
        <f t="shared" si="91"/>
        <v>21875</v>
      </c>
      <c r="M271" s="264">
        <f t="shared" si="91"/>
        <v>21875</v>
      </c>
      <c r="N271" s="264">
        <f t="shared" si="91"/>
        <v>21875</v>
      </c>
      <c r="O271" s="264">
        <f>O262-O270+O263</f>
        <v>71875</v>
      </c>
      <c r="P271" s="261"/>
      <c r="Q271" s="261"/>
      <c r="R271" s="261"/>
      <c r="S271" s="261"/>
      <c r="T271" s="261"/>
      <c r="U271" s="261"/>
      <c r="V271" s="261"/>
      <c r="W271" s="261"/>
      <c r="X271" s="261"/>
      <c r="Y271" s="261"/>
      <c r="Z271" s="261"/>
      <c r="AA271" s="261"/>
      <c r="AB271" s="261"/>
      <c r="AC271" s="261"/>
    </row>
    <row r="272" spans="1:29" ht="14.25" customHeight="1">
      <c r="A272" s="23"/>
      <c r="B272" s="23"/>
      <c r="C272" s="23"/>
      <c r="Y272" s="23"/>
      <c r="Z272" s="23"/>
      <c r="AA272" s="23"/>
      <c r="AB272" s="23"/>
      <c r="AC272" s="23"/>
    </row>
    <row r="273" spans="1:29" ht="14.2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</row>
    <row r="274" spans="1:29" ht="14.25" customHeight="1">
      <c r="A274" s="265" t="s">
        <v>124</v>
      </c>
      <c r="B274" s="266">
        <v>276000</v>
      </c>
      <c r="C274" s="267">
        <v>390000</v>
      </c>
      <c r="D274" s="268">
        <f>C274*0.15+C274</f>
        <v>448500</v>
      </c>
      <c r="E274" s="269">
        <v>45771</v>
      </c>
      <c r="F274" s="270" t="s">
        <v>125</v>
      </c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</row>
    <row r="275" spans="1:29" ht="14.25" customHeight="1">
      <c r="A275" s="271"/>
      <c r="B275" s="272"/>
      <c r="C275" s="273"/>
      <c r="D275" s="274"/>
      <c r="E275" s="275">
        <f t="shared" ref="E275:E278" si="92">F275*12</f>
        <v>400500</v>
      </c>
      <c r="F275" s="270">
        <f>'High Salary '!D276/12</f>
        <v>33375</v>
      </c>
      <c r="G275" s="23">
        <f t="shared" ref="G275:G284" si="93">F276+F275</f>
        <v>37375</v>
      </c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</row>
    <row r="276" spans="1:29" ht="14.25" customHeight="1">
      <c r="A276" s="271" t="s">
        <v>78</v>
      </c>
      <c r="B276" s="272"/>
      <c r="C276" s="273">
        <v>342000</v>
      </c>
      <c r="D276" s="274">
        <v>400500</v>
      </c>
      <c r="E276" s="275">
        <f t="shared" si="92"/>
        <v>48000</v>
      </c>
      <c r="F276" s="270">
        <f>'High Salary '!D277/12</f>
        <v>4000</v>
      </c>
      <c r="G276" s="23">
        <f t="shared" si="93"/>
        <v>5950</v>
      </c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</row>
    <row r="277" spans="1:29" ht="14.25" customHeight="1">
      <c r="A277" s="276" t="s">
        <v>122</v>
      </c>
      <c r="B277" s="272"/>
      <c r="C277" s="273">
        <v>48000</v>
      </c>
      <c r="D277" s="268">
        <v>48000</v>
      </c>
      <c r="E277" s="275">
        <f t="shared" si="92"/>
        <v>23400</v>
      </c>
      <c r="F277" s="277">
        <v>1950</v>
      </c>
      <c r="G277" s="23">
        <f t="shared" si="93"/>
        <v>2150</v>
      </c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</row>
    <row r="278" spans="1:29" ht="14.25" customHeight="1">
      <c r="A278" s="271" t="s">
        <v>89</v>
      </c>
      <c r="B278" s="272"/>
      <c r="C278" s="272"/>
      <c r="D278" s="278"/>
      <c r="E278" s="275">
        <f t="shared" si="92"/>
        <v>2400</v>
      </c>
      <c r="F278" s="277">
        <v>200</v>
      </c>
      <c r="G278" s="23">
        <f t="shared" si="93"/>
        <v>200</v>
      </c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</row>
    <row r="279" spans="1:29" ht="14.25" customHeight="1">
      <c r="A279" s="271" t="s">
        <v>81</v>
      </c>
      <c r="B279" s="272"/>
      <c r="C279" s="279"/>
      <c r="D279" s="280"/>
      <c r="E279" s="275"/>
      <c r="F279" s="277"/>
      <c r="G279" s="23">
        <f t="shared" si="93"/>
        <v>1800</v>
      </c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</row>
    <row r="280" spans="1:29" ht="14.25" customHeight="1">
      <c r="A280" s="271" t="s">
        <v>82</v>
      </c>
      <c r="B280" s="272"/>
      <c r="C280" s="279"/>
      <c r="D280" s="280"/>
      <c r="E280" s="275">
        <f>F280*12</f>
        <v>21600</v>
      </c>
      <c r="F280" s="265">
        <v>1800</v>
      </c>
      <c r="G280" s="23">
        <f t="shared" si="93"/>
        <v>1800</v>
      </c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</row>
    <row r="281" spans="1:29" ht="14.25" customHeight="1">
      <c r="A281" s="271" t="s">
        <v>83</v>
      </c>
      <c r="B281" s="272"/>
      <c r="C281" s="279"/>
      <c r="D281" s="280"/>
      <c r="E281" s="275"/>
      <c r="F281" s="275"/>
      <c r="G281" s="23">
        <f t="shared" si="93"/>
        <v>37375</v>
      </c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</row>
    <row r="282" spans="1:29" ht="14.25" customHeight="1">
      <c r="A282" s="271" t="s">
        <v>84</v>
      </c>
      <c r="B282" s="272"/>
      <c r="C282" s="279">
        <v>448500</v>
      </c>
      <c r="D282" s="274"/>
      <c r="E282" s="275">
        <f t="shared" ref="E282:E284" si="94">F282*12</f>
        <v>448500</v>
      </c>
      <c r="F282" s="270">
        <f>F275+F276</f>
        <v>37375</v>
      </c>
      <c r="G282" s="23">
        <f t="shared" si="93"/>
        <v>41325</v>
      </c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</row>
    <row r="283" spans="1:29" ht="14.25" customHeight="1">
      <c r="A283" s="281"/>
      <c r="B283" s="272"/>
      <c r="C283" s="279"/>
      <c r="D283" s="280"/>
      <c r="E283" s="275">
        <f t="shared" si="94"/>
        <v>47400</v>
      </c>
      <c r="F283" s="277">
        <v>3950</v>
      </c>
      <c r="G283" s="23">
        <f t="shared" si="93"/>
        <v>37375</v>
      </c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</row>
    <row r="284" spans="1:29" ht="14.25" customHeight="1">
      <c r="A284" s="282" t="s">
        <v>85</v>
      </c>
      <c r="B284" s="272"/>
      <c r="C284" s="279"/>
      <c r="D284" s="283"/>
      <c r="E284" s="275">
        <f t="shared" si="94"/>
        <v>401100</v>
      </c>
      <c r="F284" s="284">
        <f>F282-F283</f>
        <v>33425</v>
      </c>
      <c r="G284" s="23">
        <f t="shared" si="93"/>
        <v>33425</v>
      </c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</row>
    <row r="285" spans="1:29" ht="14.25" customHeight="1">
      <c r="A285" s="285" t="s">
        <v>86</v>
      </c>
      <c r="B285" s="272"/>
      <c r="C285" s="272"/>
      <c r="D285" s="272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</row>
    <row r="286" spans="1:29" ht="14.2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</row>
    <row r="287" spans="1:29" ht="14.25" customHeight="1">
      <c r="A287" s="286"/>
      <c r="B287" s="286"/>
      <c r="C287" s="286"/>
      <c r="D287" s="286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</row>
    <row r="288" spans="1:29" ht="14.25" customHeight="1">
      <c r="A288" s="287" t="s">
        <v>126</v>
      </c>
      <c r="B288" s="288">
        <v>1300000</v>
      </c>
      <c r="C288" s="289">
        <f>B288/12</f>
        <v>108333.33333333333</v>
      </c>
      <c r="D288" s="289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</row>
    <row r="289" spans="1:29" ht="14.25" customHeight="1">
      <c r="A289" s="290" t="s">
        <v>78</v>
      </c>
      <c r="B289" s="289"/>
      <c r="C289" s="289"/>
      <c r="D289" s="289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</row>
    <row r="290" spans="1:29" ht="14.25" customHeight="1">
      <c r="A290" s="291" t="s">
        <v>122</v>
      </c>
      <c r="B290" s="289"/>
      <c r="C290" s="289"/>
      <c r="D290" s="289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</row>
    <row r="291" spans="1:29" ht="14.25" customHeight="1">
      <c r="A291" s="290" t="s">
        <v>89</v>
      </c>
      <c r="B291" s="289"/>
      <c r="C291" s="292">
        <v>1950</v>
      </c>
      <c r="D291" s="289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</row>
    <row r="292" spans="1:29" ht="14.25" customHeight="1">
      <c r="A292" s="290" t="s">
        <v>81</v>
      </c>
      <c r="B292" s="289"/>
      <c r="C292" s="292">
        <v>200</v>
      </c>
      <c r="D292" s="289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</row>
    <row r="293" spans="1:29" ht="14.25" customHeight="1">
      <c r="A293" s="290" t="s">
        <v>82</v>
      </c>
      <c r="B293" s="289"/>
      <c r="C293" s="288">
        <v>13247</v>
      </c>
      <c r="D293" s="288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</row>
    <row r="294" spans="1:29" ht="14.25" customHeight="1">
      <c r="A294" s="290" t="s">
        <v>83</v>
      </c>
      <c r="B294" s="289"/>
      <c r="C294" s="288">
        <v>1800</v>
      </c>
      <c r="D294" s="289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</row>
    <row r="295" spans="1:29" ht="14.25" customHeight="1">
      <c r="A295" s="290" t="s">
        <v>84</v>
      </c>
      <c r="B295" s="289"/>
      <c r="C295" s="289"/>
      <c r="D295" s="289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</row>
    <row r="296" spans="1:29" ht="14.25" customHeight="1">
      <c r="A296" s="293"/>
      <c r="B296" s="289"/>
      <c r="C296" s="289"/>
      <c r="D296" s="289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</row>
    <row r="297" spans="1:29" ht="14.25" customHeight="1">
      <c r="A297" s="294" t="s">
        <v>85</v>
      </c>
      <c r="B297" s="289"/>
      <c r="C297" s="289"/>
      <c r="D297" s="288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</row>
    <row r="298" spans="1:29" ht="14.25" customHeight="1">
      <c r="A298" s="295" t="s">
        <v>86</v>
      </c>
      <c r="B298" s="275"/>
      <c r="C298" s="275"/>
      <c r="D298" s="275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</row>
    <row r="299" spans="1:29" ht="14.2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</row>
    <row r="300" spans="1:29" ht="14.25" customHeight="1">
      <c r="A300" s="23"/>
      <c r="B300" s="23"/>
      <c r="C300" s="265">
        <v>750000</v>
      </c>
      <c r="D300" s="23"/>
      <c r="E300" s="23"/>
      <c r="F300" s="23">
        <f>B302+50000</f>
        <v>800000</v>
      </c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</row>
    <row r="301" spans="1:29" ht="14.25" customHeight="1">
      <c r="A301" s="265" t="s">
        <v>56</v>
      </c>
      <c r="B301" s="265" t="s">
        <v>127</v>
      </c>
      <c r="C301" s="296" t="s">
        <v>67</v>
      </c>
      <c r="D301" s="296" t="s">
        <v>68</v>
      </c>
      <c r="E301" s="297" t="s">
        <v>69</v>
      </c>
      <c r="F301" s="298" t="s">
        <v>77</v>
      </c>
      <c r="G301" s="298" t="s">
        <v>113</v>
      </c>
      <c r="H301" s="298" t="s">
        <v>114</v>
      </c>
      <c r="I301" s="298" t="s">
        <v>115</v>
      </c>
      <c r="J301" s="298" t="s">
        <v>116</v>
      </c>
      <c r="K301" s="298" t="s">
        <v>117</v>
      </c>
      <c r="L301" s="298" t="s">
        <v>128</v>
      </c>
      <c r="M301" s="298" t="s">
        <v>129</v>
      </c>
      <c r="N301" s="298" t="s">
        <v>66</v>
      </c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</row>
    <row r="302" spans="1:29" ht="14.25" customHeight="1">
      <c r="A302" s="271" t="s">
        <v>78</v>
      </c>
      <c r="B302" s="265">
        <v>750000</v>
      </c>
      <c r="C302" s="275">
        <f>B302/12</f>
        <v>62500</v>
      </c>
      <c r="D302" s="275">
        <f>B302/12</f>
        <v>62500</v>
      </c>
      <c r="E302" s="299">
        <f>B302/12</f>
        <v>62500</v>
      </c>
      <c r="F302" s="23">
        <f>F300/12</f>
        <v>66666.666666666672</v>
      </c>
      <c r="G302" s="23">
        <f>F300/12</f>
        <v>66666.666666666672</v>
      </c>
      <c r="H302" s="23">
        <f>F300/12</f>
        <v>66666.666666666672</v>
      </c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</row>
    <row r="303" spans="1:29" ht="14.25" customHeight="1">
      <c r="A303" s="276" t="s">
        <v>122</v>
      </c>
      <c r="B303" s="265">
        <v>50000</v>
      </c>
      <c r="C303" s="275"/>
      <c r="D303" s="275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</row>
    <row r="304" spans="1:29" ht="14.25" customHeight="1">
      <c r="A304" s="271" t="s">
        <v>89</v>
      </c>
      <c r="B304" s="275"/>
      <c r="C304" s="265">
        <v>1950</v>
      </c>
      <c r="D304" s="265">
        <v>1950</v>
      </c>
      <c r="E304" s="265">
        <v>1950</v>
      </c>
      <c r="F304" s="265">
        <v>1950</v>
      </c>
      <c r="G304" s="265">
        <v>1950</v>
      </c>
      <c r="H304" s="265">
        <v>1950</v>
      </c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</row>
    <row r="305" spans="1:29" ht="14.25" customHeight="1">
      <c r="A305" s="271" t="s">
        <v>81</v>
      </c>
      <c r="B305" s="275"/>
      <c r="C305" s="265">
        <v>200</v>
      </c>
      <c r="D305" s="265">
        <v>200</v>
      </c>
      <c r="E305" s="265">
        <v>200</v>
      </c>
      <c r="F305" s="265">
        <v>200</v>
      </c>
      <c r="G305" s="265">
        <v>200</v>
      </c>
      <c r="H305" s="265">
        <v>200</v>
      </c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</row>
    <row r="306" spans="1:29" ht="14.25" customHeight="1">
      <c r="A306" s="271" t="s">
        <v>82</v>
      </c>
      <c r="B306" s="275"/>
      <c r="C306" s="265">
        <v>0</v>
      </c>
      <c r="D306" s="265">
        <v>0</v>
      </c>
      <c r="E306" s="265">
        <v>0</v>
      </c>
      <c r="F306" s="265">
        <v>0</v>
      </c>
      <c r="G306" s="265">
        <v>0</v>
      </c>
      <c r="H306" s="265">
        <v>0</v>
      </c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</row>
    <row r="307" spans="1:29" ht="14.25" customHeight="1">
      <c r="A307" s="271" t="s">
        <v>83</v>
      </c>
      <c r="B307" s="275"/>
      <c r="C307" s="265">
        <v>1800</v>
      </c>
      <c r="D307" s="265">
        <v>1800</v>
      </c>
      <c r="E307" s="265">
        <v>1800</v>
      </c>
      <c r="F307" s="265">
        <v>1800</v>
      </c>
      <c r="G307" s="265">
        <v>1800</v>
      </c>
      <c r="H307" s="265">
        <v>1800</v>
      </c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</row>
    <row r="308" spans="1:29" ht="14.25" customHeight="1">
      <c r="A308" s="271" t="s">
        <v>84</v>
      </c>
      <c r="B308" s="275"/>
      <c r="C308" s="275"/>
      <c r="D308" s="275"/>
      <c r="E308" s="275"/>
      <c r="F308" s="275"/>
      <c r="G308" s="275"/>
      <c r="H308" s="275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</row>
    <row r="309" spans="1:29" ht="14.25" customHeight="1">
      <c r="A309" s="281"/>
      <c r="B309" s="275"/>
      <c r="C309" s="275"/>
      <c r="D309" s="275"/>
      <c r="E309" s="265">
        <v>25</v>
      </c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</row>
    <row r="310" spans="1:29" ht="14.25" customHeight="1">
      <c r="A310" s="282" t="s">
        <v>85</v>
      </c>
      <c r="B310" s="275"/>
      <c r="C310" s="275">
        <f t="shared" ref="C310:H310" si="95">C304+C305+C306+C307</f>
        <v>3950</v>
      </c>
      <c r="D310" s="275">
        <f t="shared" si="95"/>
        <v>3950</v>
      </c>
      <c r="E310" s="275">
        <f t="shared" si="95"/>
        <v>3950</v>
      </c>
      <c r="F310" s="275">
        <f t="shared" si="95"/>
        <v>3950</v>
      </c>
      <c r="G310" s="275">
        <f t="shared" si="95"/>
        <v>3950</v>
      </c>
      <c r="H310" s="275">
        <f t="shared" si="95"/>
        <v>3950</v>
      </c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</row>
    <row r="311" spans="1:29" ht="14.25" customHeight="1">
      <c r="A311" s="285" t="s">
        <v>86</v>
      </c>
      <c r="B311" s="275"/>
      <c r="C311" s="275">
        <f t="shared" ref="C311:D311" si="96">C302-C310</f>
        <v>58550</v>
      </c>
      <c r="D311" s="275">
        <f t="shared" si="96"/>
        <v>58550</v>
      </c>
      <c r="E311" s="299">
        <f>E302-E310+E309</f>
        <v>58575</v>
      </c>
      <c r="F311" s="23">
        <f t="shared" ref="F311:H311" si="97">F302-F310</f>
        <v>62716.666666666672</v>
      </c>
      <c r="G311" s="23">
        <f t="shared" si="97"/>
        <v>62716.666666666672</v>
      </c>
      <c r="H311" s="23">
        <f t="shared" si="97"/>
        <v>62716.666666666672</v>
      </c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</row>
    <row r="312" spans="1:29" ht="14.2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</row>
    <row r="313" spans="1:29" ht="14.25" customHeight="1">
      <c r="A313" s="23"/>
      <c r="C313" s="23"/>
      <c r="D313" s="23"/>
      <c r="E313" s="23"/>
      <c r="F313" s="23">
        <f>B315+50000</f>
        <v>800000</v>
      </c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</row>
    <row r="314" spans="1:29" ht="14.25" customHeight="1">
      <c r="A314" s="265" t="s">
        <v>58</v>
      </c>
      <c r="B314" s="300">
        <v>45814</v>
      </c>
      <c r="C314" s="296" t="s">
        <v>67</v>
      </c>
      <c r="D314" s="296" t="s">
        <v>68</v>
      </c>
      <c r="E314" s="297" t="s">
        <v>69</v>
      </c>
      <c r="F314" s="298" t="s">
        <v>77</v>
      </c>
      <c r="G314" s="298" t="s">
        <v>113</v>
      </c>
      <c r="H314" s="298" t="s">
        <v>114</v>
      </c>
      <c r="I314" s="298" t="s">
        <v>115</v>
      </c>
      <c r="J314" s="298" t="s">
        <v>116</v>
      </c>
      <c r="K314" s="298" t="s">
        <v>117</v>
      </c>
      <c r="L314" s="298" t="s">
        <v>128</v>
      </c>
      <c r="M314" s="298" t="s">
        <v>129</v>
      </c>
      <c r="N314" s="298" t="s">
        <v>66</v>
      </c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</row>
    <row r="315" spans="1:29" ht="14.25" customHeight="1">
      <c r="A315" s="271" t="s">
        <v>78</v>
      </c>
      <c r="B315" s="265">
        <v>750000</v>
      </c>
      <c r="C315" s="275">
        <f>B315/12</f>
        <v>62500</v>
      </c>
      <c r="D315" s="275">
        <f>B315/12</f>
        <v>62500</v>
      </c>
      <c r="E315" s="299">
        <f>B315/12</f>
        <v>62500</v>
      </c>
      <c r="F315" s="23">
        <f>F313/12</f>
        <v>66666.666666666672</v>
      </c>
      <c r="G315" s="23">
        <f>F313/12</f>
        <v>66666.666666666672</v>
      </c>
      <c r="H315" s="23">
        <f>F313/12</f>
        <v>66666.666666666672</v>
      </c>
      <c r="I315" s="23">
        <f>66667</f>
        <v>66667</v>
      </c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</row>
    <row r="316" spans="1:29" ht="14.25" customHeight="1">
      <c r="A316" s="276" t="s">
        <v>122</v>
      </c>
      <c r="B316" s="265">
        <v>0</v>
      </c>
      <c r="C316" s="275"/>
      <c r="D316" s="275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</row>
    <row r="317" spans="1:29" ht="14.25" customHeight="1">
      <c r="A317" s="271" t="s">
        <v>89</v>
      </c>
      <c r="B317" s="275"/>
      <c r="C317" s="265">
        <v>1950</v>
      </c>
      <c r="D317" s="265">
        <v>1950</v>
      </c>
      <c r="E317" s="265">
        <v>1950</v>
      </c>
      <c r="F317" s="265">
        <v>1950</v>
      </c>
      <c r="G317" s="265">
        <v>1950</v>
      </c>
      <c r="H317" s="265">
        <v>1950</v>
      </c>
      <c r="I317" s="265">
        <v>1950</v>
      </c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</row>
    <row r="318" spans="1:29" ht="14.25" customHeight="1">
      <c r="A318" s="271" t="s">
        <v>81</v>
      </c>
      <c r="B318" s="275"/>
      <c r="C318" s="265">
        <v>200</v>
      </c>
      <c r="D318" s="265">
        <v>200</v>
      </c>
      <c r="E318" s="265">
        <v>200</v>
      </c>
      <c r="F318" s="265">
        <v>200</v>
      </c>
      <c r="G318" s="265">
        <v>200</v>
      </c>
      <c r="H318" s="265">
        <v>200</v>
      </c>
      <c r="I318" s="265">
        <v>200</v>
      </c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</row>
    <row r="319" spans="1:29" ht="14.25" customHeight="1">
      <c r="A319" s="271" t="s">
        <v>82</v>
      </c>
      <c r="B319" s="275"/>
      <c r="C319" s="265">
        <v>0</v>
      </c>
      <c r="D319" s="265">
        <v>0</v>
      </c>
      <c r="E319" s="265">
        <v>0</v>
      </c>
      <c r="F319" s="265">
        <v>0</v>
      </c>
      <c r="G319" s="265">
        <v>0</v>
      </c>
      <c r="H319" s="265">
        <v>0</v>
      </c>
      <c r="I319" s="265">
        <v>0</v>
      </c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</row>
    <row r="320" spans="1:29" ht="14.25" customHeight="1">
      <c r="A320" s="271" t="s">
        <v>83</v>
      </c>
      <c r="B320" s="275"/>
      <c r="C320" s="265">
        <v>1800</v>
      </c>
      <c r="D320" s="265">
        <v>1800</v>
      </c>
      <c r="E320" s="265">
        <v>1800</v>
      </c>
      <c r="F320" s="265">
        <v>1800</v>
      </c>
      <c r="G320" s="265">
        <v>1800</v>
      </c>
      <c r="H320" s="265">
        <v>1800</v>
      </c>
      <c r="I320" s="265">
        <v>1800</v>
      </c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</row>
    <row r="321" spans="1:29" ht="14.25" customHeight="1">
      <c r="A321" s="271" t="s">
        <v>84</v>
      </c>
      <c r="B321" s="275"/>
      <c r="C321" s="275"/>
      <c r="D321" s="275"/>
      <c r="E321" s="272"/>
      <c r="F321" s="275"/>
      <c r="G321" s="275"/>
      <c r="H321" s="275"/>
      <c r="I321" s="275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</row>
    <row r="322" spans="1:29" ht="14.25" customHeight="1">
      <c r="A322" s="281"/>
      <c r="B322" s="275"/>
      <c r="C322" s="275"/>
      <c r="D322" s="275"/>
      <c r="E322" s="301"/>
      <c r="F322" s="275"/>
      <c r="G322" s="275"/>
      <c r="H322" s="275"/>
      <c r="I322" s="275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</row>
    <row r="323" spans="1:29" ht="14.25" customHeight="1">
      <c r="A323" s="282" t="s">
        <v>85</v>
      </c>
      <c r="B323" s="275"/>
      <c r="C323" s="275">
        <f t="shared" ref="C323:I323" si="98">C317+C318+C319+C320</f>
        <v>3950</v>
      </c>
      <c r="D323" s="275">
        <f t="shared" si="98"/>
        <v>3950</v>
      </c>
      <c r="E323" s="272">
        <f t="shared" si="98"/>
        <v>3950</v>
      </c>
      <c r="F323" s="272">
        <f t="shared" si="98"/>
        <v>3950</v>
      </c>
      <c r="G323" s="272">
        <f t="shared" si="98"/>
        <v>3950</v>
      </c>
      <c r="H323" s="272">
        <f t="shared" si="98"/>
        <v>3950</v>
      </c>
      <c r="I323" s="272">
        <f t="shared" si="98"/>
        <v>3950</v>
      </c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</row>
    <row r="324" spans="1:29" ht="14.25" customHeight="1">
      <c r="A324" s="285" t="s">
        <v>86</v>
      </c>
      <c r="B324" s="275"/>
      <c r="C324" s="275">
        <f t="shared" ref="C324:D324" si="99">C315-C323</f>
        <v>58550</v>
      </c>
      <c r="D324" s="275">
        <f t="shared" si="99"/>
        <v>58550</v>
      </c>
      <c r="E324" s="272">
        <f>E315-E323+E322</f>
        <v>58550</v>
      </c>
      <c r="F324" s="275">
        <f t="shared" ref="F324:I324" si="100">F315-F323</f>
        <v>62716.666666666672</v>
      </c>
      <c r="G324" s="275">
        <f t="shared" si="100"/>
        <v>62716.666666666672</v>
      </c>
      <c r="H324" s="275">
        <f t="shared" si="100"/>
        <v>62716.666666666672</v>
      </c>
      <c r="I324" s="23">
        <f t="shared" si="100"/>
        <v>62717</v>
      </c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</row>
    <row r="325" spans="1:29" ht="14.25" customHeight="1">
      <c r="A325" s="23"/>
      <c r="B325" s="23"/>
      <c r="C325" s="23"/>
      <c r="D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</row>
    <row r="326" spans="1:29" ht="14.2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</row>
    <row r="327" spans="1:29" ht="14.2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</row>
    <row r="328" spans="1:29" ht="14.25" customHeight="1">
      <c r="A328" s="265" t="s">
        <v>130</v>
      </c>
      <c r="B328" s="300">
        <v>45809</v>
      </c>
      <c r="C328" s="265" t="s">
        <v>67</v>
      </c>
      <c r="D328" s="265" t="s">
        <v>68</v>
      </c>
      <c r="E328" s="184" t="s">
        <v>69</v>
      </c>
      <c r="F328" s="184" t="s">
        <v>77</v>
      </c>
      <c r="G328" s="184" t="s">
        <v>113</v>
      </c>
      <c r="H328" s="184" t="s">
        <v>114</v>
      </c>
      <c r="I328" s="184" t="s">
        <v>115</v>
      </c>
      <c r="J328" s="184" t="s">
        <v>116</v>
      </c>
      <c r="K328" s="184" t="s">
        <v>117</v>
      </c>
      <c r="L328" s="184" t="s">
        <v>128</v>
      </c>
      <c r="M328" s="184" t="s">
        <v>129</v>
      </c>
      <c r="N328" s="184" t="s">
        <v>66</v>
      </c>
      <c r="O328" s="184" t="s">
        <v>131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</row>
    <row r="329" spans="1:29" ht="14.25" customHeight="1">
      <c r="A329" s="271" t="s">
        <v>78</v>
      </c>
      <c r="B329" s="265">
        <v>350000</v>
      </c>
      <c r="C329" s="275">
        <f>B329/12</f>
        <v>29166.666666666668</v>
      </c>
      <c r="D329" s="275">
        <f>B329/12</f>
        <v>29166.666666666668</v>
      </c>
      <c r="E329" s="23">
        <f>B329/12</f>
        <v>29166.666666666668</v>
      </c>
      <c r="F329" s="23">
        <f>B329/12</f>
        <v>29166.666666666668</v>
      </c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</row>
    <row r="330" spans="1:29" ht="14.25" customHeight="1">
      <c r="A330" s="276" t="s">
        <v>122</v>
      </c>
      <c r="B330" s="265">
        <v>0</v>
      </c>
      <c r="C330" s="275"/>
      <c r="D330" s="275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</row>
    <row r="331" spans="1:29" ht="14.25" customHeight="1">
      <c r="A331" s="271" t="s">
        <v>89</v>
      </c>
      <c r="B331" s="275"/>
      <c r="C331" s="265">
        <v>1896</v>
      </c>
      <c r="D331" s="265">
        <v>1896</v>
      </c>
      <c r="E331" s="265">
        <v>1896</v>
      </c>
      <c r="F331" s="265">
        <v>1896</v>
      </c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</row>
    <row r="332" spans="1:29" ht="14.25" customHeight="1">
      <c r="A332" s="271" t="s">
        <v>81</v>
      </c>
      <c r="B332" s="275"/>
      <c r="C332" s="265">
        <v>200</v>
      </c>
      <c r="D332" s="265">
        <v>200</v>
      </c>
      <c r="E332" s="265">
        <v>200</v>
      </c>
      <c r="F332" s="265">
        <v>200</v>
      </c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</row>
    <row r="333" spans="1:29" ht="14.25" customHeight="1">
      <c r="A333" s="271" t="s">
        <v>82</v>
      </c>
      <c r="B333" s="275"/>
      <c r="C333" s="275"/>
      <c r="D333" s="275"/>
      <c r="E333" s="275"/>
      <c r="F333" s="275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</row>
    <row r="334" spans="1:29" ht="14.25" customHeight="1">
      <c r="A334" s="271" t="s">
        <v>83</v>
      </c>
      <c r="B334" s="275"/>
      <c r="C334" s="265">
        <v>1750</v>
      </c>
      <c r="D334" s="265">
        <v>1750</v>
      </c>
      <c r="E334" s="265">
        <v>1750</v>
      </c>
      <c r="F334" s="265">
        <v>1750</v>
      </c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</row>
    <row r="335" spans="1:29" ht="14.25" customHeight="1">
      <c r="A335" s="271" t="s">
        <v>84</v>
      </c>
      <c r="B335" s="275"/>
      <c r="C335" s="275"/>
      <c r="D335" s="275"/>
      <c r="E335" s="275"/>
      <c r="F335" s="275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</row>
    <row r="336" spans="1:29" ht="14.25" customHeight="1">
      <c r="A336" s="302" t="s">
        <v>132</v>
      </c>
      <c r="B336" s="275"/>
      <c r="C336" s="275"/>
      <c r="D336" s="275"/>
      <c r="E336" s="265"/>
      <c r="F336" s="265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</row>
    <row r="337" spans="1:29" ht="14.25" customHeight="1">
      <c r="A337" s="282" t="s">
        <v>85</v>
      </c>
      <c r="B337" s="275"/>
      <c r="C337" s="275">
        <f t="shared" ref="C337:F337" si="101">C331+C332+C333+C334</f>
        <v>3846</v>
      </c>
      <c r="D337" s="275">
        <f t="shared" si="101"/>
        <v>3846</v>
      </c>
      <c r="E337" s="275">
        <f t="shared" si="101"/>
        <v>3846</v>
      </c>
      <c r="F337" s="275">
        <f t="shared" si="101"/>
        <v>3846</v>
      </c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</row>
    <row r="338" spans="1:29" ht="14.25" customHeight="1">
      <c r="A338" s="285" t="s">
        <v>86</v>
      </c>
      <c r="B338" s="275"/>
      <c r="C338" s="275">
        <f t="shared" ref="C338:D338" si="102">C329-C337</f>
        <v>25320.666666666668</v>
      </c>
      <c r="D338" s="275">
        <f t="shared" si="102"/>
        <v>25320.666666666668</v>
      </c>
      <c r="E338" s="23">
        <f>E329-E337+E336</f>
        <v>25320.666666666668</v>
      </c>
      <c r="F338" s="23">
        <f>F329-F337</f>
        <v>25320.666666666668</v>
      </c>
      <c r="G338" s="23">
        <f>F338-110</f>
        <v>25210.666666666668</v>
      </c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</row>
    <row r="339" spans="1:29" ht="14.2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</row>
    <row r="340" spans="1:29" ht="14.2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</row>
    <row r="341" spans="1:29" ht="14.2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</row>
    <row r="342" spans="1:29" ht="14.25" customHeight="1">
      <c r="A342" s="265" t="s">
        <v>133</v>
      </c>
      <c r="B342" s="300">
        <v>45820</v>
      </c>
      <c r="C342" s="265" t="s">
        <v>67</v>
      </c>
      <c r="D342" s="265" t="s">
        <v>68</v>
      </c>
      <c r="E342" s="184" t="s">
        <v>69</v>
      </c>
      <c r="F342" s="184" t="s">
        <v>77</v>
      </c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</row>
    <row r="343" spans="1:29" ht="14.25" customHeight="1">
      <c r="A343" s="271" t="s">
        <v>78</v>
      </c>
      <c r="B343" s="265">
        <v>400000</v>
      </c>
      <c r="C343" s="275">
        <f>B343/12</f>
        <v>33333.333333333336</v>
      </c>
      <c r="D343" s="275">
        <f>B343/12</f>
        <v>33333.333333333336</v>
      </c>
      <c r="E343" s="23">
        <f>B343/12</f>
        <v>33333.333333333336</v>
      </c>
      <c r="F343" s="23">
        <f>B343/12</f>
        <v>33333.333333333336</v>
      </c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</row>
    <row r="344" spans="1:29" ht="14.25" customHeight="1">
      <c r="A344" s="276" t="s">
        <v>122</v>
      </c>
      <c r="B344" s="265">
        <v>0</v>
      </c>
      <c r="C344" s="275"/>
      <c r="D344" s="275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</row>
    <row r="345" spans="1:29" ht="14.25" customHeight="1">
      <c r="A345" s="271" t="s">
        <v>89</v>
      </c>
      <c r="B345" s="275"/>
      <c r="C345" s="275"/>
      <c r="D345" s="265">
        <v>1950</v>
      </c>
      <c r="E345" s="265">
        <v>1950</v>
      </c>
      <c r="F345" s="265">
        <v>1950</v>
      </c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</row>
    <row r="346" spans="1:29" ht="14.25" customHeight="1">
      <c r="A346" s="271" t="s">
        <v>81</v>
      </c>
      <c r="B346" s="275"/>
      <c r="C346" s="275"/>
      <c r="D346" s="265">
        <v>200</v>
      </c>
      <c r="E346" s="265">
        <v>200</v>
      </c>
      <c r="F346" s="265">
        <v>200</v>
      </c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</row>
    <row r="347" spans="1:29" ht="14.25" customHeight="1">
      <c r="A347" s="271" t="s">
        <v>82</v>
      </c>
      <c r="B347" s="275"/>
      <c r="C347" s="275"/>
      <c r="D347" s="265">
        <v>0</v>
      </c>
      <c r="E347" s="265">
        <v>0</v>
      </c>
      <c r="F347" s="265">
        <v>0</v>
      </c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</row>
    <row r="348" spans="1:29" ht="14.25" customHeight="1">
      <c r="A348" s="271" t="s">
        <v>83</v>
      </c>
      <c r="B348" s="275"/>
      <c r="C348" s="275"/>
      <c r="D348" s="265">
        <v>1800</v>
      </c>
      <c r="E348" s="265">
        <v>1800</v>
      </c>
      <c r="F348" s="265">
        <v>1800</v>
      </c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</row>
    <row r="349" spans="1:29" ht="14.25" customHeight="1">
      <c r="A349" s="271" t="s">
        <v>84</v>
      </c>
      <c r="B349" s="275"/>
      <c r="C349" s="275"/>
      <c r="D349" s="275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</row>
    <row r="350" spans="1:29" ht="14.25" customHeight="1">
      <c r="A350" s="302" t="s">
        <v>132</v>
      </c>
      <c r="B350" s="275"/>
      <c r="C350" s="275"/>
      <c r="D350" s="275"/>
      <c r="E350" s="184"/>
      <c r="F350" s="184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</row>
    <row r="351" spans="1:29" ht="14.25" customHeight="1">
      <c r="A351" s="282" t="s">
        <v>85</v>
      </c>
      <c r="B351" s="275"/>
      <c r="C351" s="275"/>
      <c r="D351" s="275">
        <f t="shared" ref="D351:F351" si="103">D345+D346+D347+D348</f>
        <v>3950</v>
      </c>
      <c r="E351" s="275">
        <f t="shared" si="103"/>
        <v>3950</v>
      </c>
      <c r="F351" s="275">
        <f t="shared" si="103"/>
        <v>3950</v>
      </c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</row>
    <row r="352" spans="1:29" ht="14.25" customHeight="1">
      <c r="A352" s="285" t="s">
        <v>86</v>
      </c>
      <c r="B352" s="275"/>
      <c r="C352" s="275"/>
      <c r="D352" s="275">
        <f>D343-D351</f>
        <v>29383.333333333336</v>
      </c>
      <c r="E352" s="23">
        <f>E343+E350-E351</f>
        <v>29383.333333333336</v>
      </c>
      <c r="F352" s="23">
        <f>F343-F351</f>
        <v>29383.333333333336</v>
      </c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</row>
    <row r="353" spans="1:29" ht="14.2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</row>
    <row r="354" spans="1:29" ht="14.2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</row>
    <row r="355" spans="1:29" ht="14.25" customHeight="1">
      <c r="A355" s="265" t="s">
        <v>61</v>
      </c>
      <c r="B355" s="265" t="s">
        <v>134</v>
      </c>
      <c r="C355" s="265" t="s">
        <v>135</v>
      </c>
      <c r="D355" s="265" t="s">
        <v>69</v>
      </c>
      <c r="E355" s="265" t="s">
        <v>77</v>
      </c>
      <c r="F355" s="265" t="s">
        <v>113</v>
      </c>
      <c r="G355" s="265" t="s">
        <v>114</v>
      </c>
      <c r="H355" s="265" t="s">
        <v>115</v>
      </c>
      <c r="I355" s="265" t="s">
        <v>116</v>
      </c>
      <c r="J355" s="265" t="s">
        <v>117</v>
      </c>
      <c r="K355" s="265" t="s">
        <v>128</v>
      </c>
      <c r="L355" s="265" t="s">
        <v>129</v>
      </c>
      <c r="M355" s="265" t="s">
        <v>66</v>
      </c>
      <c r="N355" s="265" t="s">
        <v>131</v>
      </c>
      <c r="O355" s="265" t="s">
        <v>136</v>
      </c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</row>
    <row r="356" spans="1:29" ht="14.25" customHeight="1">
      <c r="A356" s="271" t="s">
        <v>78</v>
      </c>
      <c r="B356" s="265">
        <v>650000</v>
      </c>
      <c r="C356" s="275">
        <f t="shared" ref="C356:C357" si="104">B356/12</f>
        <v>54166.666666666664</v>
      </c>
      <c r="D356" s="275">
        <f>C356/31*21</f>
        <v>36693.548387096773</v>
      </c>
      <c r="E356" s="275">
        <f t="shared" ref="E356:E357" si="105">B356/12</f>
        <v>54166.666666666664</v>
      </c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</row>
    <row r="357" spans="1:29" ht="14.25" customHeight="1">
      <c r="A357" s="276" t="s">
        <v>122</v>
      </c>
      <c r="B357" s="265">
        <v>50000</v>
      </c>
      <c r="C357" s="275">
        <f t="shared" si="104"/>
        <v>4166.666666666667</v>
      </c>
      <c r="D357" s="275">
        <f>B357/12</f>
        <v>4166.666666666667</v>
      </c>
      <c r="E357" s="275">
        <f t="shared" si="105"/>
        <v>4166.666666666667</v>
      </c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</row>
    <row r="358" spans="1:29" ht="14.25" customHeight="1">
      <c r="A358" s="271" t="s">
        <v>89</v>
      </c>
      <c r="B358" s="275"/>
      <c r="C358" s="265">
        <v>1950</v>
      </c>
      <c r="D358" s="265">
        <v>1950</v>
      </c>
      <c r="E358" s="265">
        <v>1950</v>
      </c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</row>
    <row r="359" spans="1:29" ht="14.25" customHeight="1">
      <c r="A359" s="271" t="s">
        <v>81</v>
      </c>
      <c r="B359" s="275"/>
      <c r="C359" s="265">
        <v>200</v>
      </c>
      <c r="D359" s="265">
        <v>200</v>
      </c>
      <c r="E359" s="265">
        <v>200</v>
      </c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</row>
    <row r="360" spans="1:29" ht="14.25" customHeight="1">
      <c r="A360" s="271" t="s">
        <v>82</v>
      </c>
      <c r="B360" s="275"/>
      <c r="C360" s="275">
        <f t="shared" ref="C360:E360" si="106">B360/12</f>
        <v>0</v>
      </c>
      <c r="D360" s="275">
        <f t="shared" si="106"/>
        <v>0</v>
      </c>
      <c r="E360" s="275">
        <f t="shared" si="106"/>
        <v>0</v>
      </c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</row>
    <row r="361" spans="1:29" ht="14.25" customHeight="1">
      <c r="A361" s="271" t="s">
        <v>83</v>
      </c>
      <c r="B361" s="275"/>
      <c r="C361" s="265">
        <v>1800</v>
      </c>
      <c r="D361" s="265">
        <v>1800</v>
      </c>
      <c r="E361" s="265">
        <v>1800</v>
      </c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</row>
    <row r="362" spans="1:29" ht="14.25" customHeight="1">
      <c r="A362" s="271" t="s">
        <v>84</v>
      </c>
      <c r="B362" s="275"/>
      <c r="C362" s="275">
        <f t="shared" ref="C362:E362" si="107">B362/12</f>
        <v>0</v>
      </c>
      <c r="D362" s="275">
        <f t="shared" si="107"/>
        <v>0</v>
      </c>
      <c r="E362" s="275">
        <f t="shared" si="107"/>
        <v>0</v>
      </c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</row>
    <row r="363" spans="1:29" ht="14.25" customHeight="1">
      <c r="A363" s="281"/>
      <c r="B363" s="275"/>
      <c r="C363" s="275"/>
      <c r="D363" s="275"/>
      <c r="E363" s="275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</row>
    <row r="364" spans="1:29" ht="14.25" customHeight="1">
      <c r="A364" s="282" t="s">
        <v>85</v>
      </c>
      <c r="B364" s="275"/>
      <c r="C364" s="275">
        <f t="shared" ref="C364:E364" si="108">C358+C359+C361</f>
        <v>3950</v>
      </c>
      <c r="D364" s="275">
        <f t="shared" si="108"/>
        <v>3950</v>
      </c>
      <c r="E364" s="275">
        <f t="shared" si="108"/>
        <v>3950</v>
      </c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</row>
    <row r="365" spans="1:29" ht="14.25" customHeight="1">
      <c r="A365" s="285" t="s">
        <v>86</v>
      </c>
      <c r="B365" s="275">
        <f>B356+B357</f>
        <v>700000</v>
      </c>
      <c r="C365" s="275"/>
      <c r="D365" s="275"/>
      <c r="E365" s="275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</row>
    <row r="366" spans="1:29" ht="14.25" customHeight="1">
      <c r="A366" s="275"/>
      <c r="B366" s="275"/>
      <c r="C366" s="275">
        <f t="shared" ref="C366:E366" si="109">C356+C357-C364</f>
        <v>54383.333333333328</v>
      </c>
      <c r="D366" s="275">
        <f t="shared" si="109"/>
        <v>36910.215053763437</v>
      </c>
      <c r="E366" s="275">
        <f t="shared" si="109"/>
        <v>54383.333333333328</v>
      </c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</row>
    <row r="367" spans="1:29" ht="14.2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</row>
    <row r="368" spans="1:29" ht="14.2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</row>
    <row r="369" spans="1:29" ht="14.2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</row>
    <row r="370" spans="1:29" ht="14.2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</row>
    <row r="371" spans="1:29" ht="14.2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</row>
    <row r="372" spans="1:29" ht="14.2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</row>
    <row r="373" spans="1:29" ht="14.2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</row>
    <row r="374" spans="1:29" ht="14.2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</row>
    <row r="375" spans="1:29" ht="14.2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</row>
    <row r="376" spans="1:29" ht="14.2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</row>
    <row r="377" spans="1:29" ht="14.2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</row>
    <row r="378" spans="1:29" ht="14.2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</row>
    <row r="379" spans="1:29" ht="14.2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</row>
    <row r="380" spans="1:29" ht="14.2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</row>
    <row r="381" spans="1:29" ht="14.2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</row>
    <row r="382" spans="1:29" ht="14.2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</row>
    <row r="383" spans="1:29" ht="14.2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</row>
    <row r="384" spans="1:29" ht="14.2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</row>
    <row r="385" spans="1:29" ht="14.2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</row>
    <row r="386" spans="1:29" ht="14.2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</row>
    <row r="387" spans="1:29" ht="14.2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</row>
    <row r="388" spans="1:29" ht="14.2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</row>
    <row r="389" spans="1:29" ht="14.2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</row>
    <row r="390" spans="1:29" ht="14.2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</row>
    <row r="391" spans="1:29" ht="14.2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</row>
    <row r="392" spans="1:29" ht="14.2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</row>
    <row r="393" spans="1:29" ht="14.2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</row>
    <row r="394" spans="1:29" ht="14.2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</row>
    <row r="395" spans="1:29" ht="14.2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</row>
    <row r="396" spans="1:29" ht="14.2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</row>
    <row r="397" spans="1:29" ht="14.2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</row>
    <row r="398" spans="1:29" ht="14.2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</row>
    <row r="399" spans="1:29" ht="14.2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</row>
    <row r="400" spans="1:29" ht="14.2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</row>
    <row r="401" spans="1:29" ht="14.2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</row>
    <row r="402" spans="1:29" ht="14.2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</row>
    <row r="403" spans="1:29" ht="14.2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</row>
    <row r="404" spans="1:29" ht="14.2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</row>
    <row r="405" spans="1:29" ht="14.2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</row>
    <row r="406" spans="1:29" ht="14.2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</row>
    <row r="407" spans="1:29" ht="14.2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</row>
    <row r="408" spans="1:29" ht="14.2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</row>
    <row r="409" spans="1:29" ht="14.2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</row>
    <row r="410" spans="1:29" ht="14.2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</row>
    <row r="411" spans="1:29" ht="14.2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</row>
    <row r="412" spans="1:29" ht="14.2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</row>
    <row r="413" spans="1:29" ht="14.2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</row>
    <row r="414" spans="1:29" ht="14.2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</row>
    <row r="415" spans="1:29" ht="14.2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</row>
    <row r="416" spans="1:29" ht="14.2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</row>
    <row r="417" spans="1:29" ht="14.2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</row>
    <row r="418" spans="1:29" ht="14.2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</row>
    <row r="419" spans="1:29" ht="14.2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</row>
    <row r="420" spans="1:29" ht="14.2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</row>
    <row r="421" spans="1:29" ht="14.2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</row>
    <row r="422" spans="1:29" ht="14.2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</row>
    <row r="423" spans="1:29" ht="14.2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</row>
    <row r="424" spans="1:29" ht="14.2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</row>
    <row r="425" spans="1:29" ht="14.2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</row>
    <row r="426" spans="1:29" ht="14.2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</row>
    <row r="427" spans="1:29" ht="14.2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</row>
    <row r="428" spans="1:29" ht="14.2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</row>
    <row r="429" spans="1:29" ht="14.2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</row>
    <row r="430" spans="1:29" ht="14.2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</row>
    <row r="431" spans="1:29" ht="14.2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</row>
    <row r="432" spans="1:29" ht="14.2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</row>
    <row r="433" spans="1:29" ht="14.2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</row>
    <row r="434" spans="1:29" ht="14.2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</row>
    <row r="435" spans="1:29" ht="14.2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</row>
    <row r="436" spans="1:29" ht="14.2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</row>
    <row r="437" spans="1:29" ht="14.2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</row>
    <row r="438" spans="1:29" ht="14.2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</row>
    <row r="439" spans="1:29" ht="14.2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</row>
    <row r="440" spans="1:29" ht="14.2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</row>
    <row r="441" spans="1:29" ht="14.2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</row>
    <row r="442" spans="1:29" ht="14.2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</row>
    <row r="443" spans="1:29" ht="14.2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</row>
    <row r="444" spans="1:29" ht="14.2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</row>
    <row r="445" spans="1:29" ht="14.2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</row>
    <row r="446" spans="1:29" ht="14.2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</row>
    <row r="447" spans="1:29" ht="14.2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</row>
    <row r="448" spans="1:29" ht="14.2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</row>
    <row r="449" spans="1:29" ht="14.2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</row>
    <row r="450" spans="1:29" ht="14.2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</row>
    <row r="451" spans="1:29" ht="14.2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</row>
    <row r="452" spans="1:29" ht="14.2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</row>
    <row r="453" spans="1:29" ht="14.2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</row>
    <row r="454" spans="1:29" ht="14.2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</row>
    <row r="455" spans="1:29" ht="14.2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</row>
    <row r="456" spans="1:29" ht="14.2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</row>
    <row r="457" spans="1:29" ht="14.2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</row>
    <row r="458" spans="1:29" ht="14.2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</row>
    <row r="459" spans="1:29" ht="14.2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</row>
    <row r="460" spans="1:29" ht="14.2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</row>
    <row r="461" spans="1:29" ht="14.2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</row>
    <row r="462" spans="1:29" ht="14.2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</row>
    <row r="463" spans="1:29" ht="14.2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</row>
    <row r="464" spans="1:29" ht="14.2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</row>
    <row r="465" spans="1:29" ht="14.2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</row>
    <row r="466" spans="1:29" ht="14.2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</row>
    <row r="467" spans="1:29" ht="14.2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</row>
    <row r="468" spans="1:29" ht="14.2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</row>
    <row r="469" spans="1:29" ht="14.2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</row>
    <row r="470" spans="1:29" ht="14.2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</row>
    <row r="471" spans="1:29" ht="14.2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</row>
    <row r="472" spans="1:29" ht="14.2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</row>
    <row r="473" spans="1:29" ht="14.2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</row>
    <row r="474" spans="1:29" ht="14.2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</row>
    <row r="475" spans="1:29" ht="14.2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</row>
    <row r="476" spans="1:29" ht="14.2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</row>
    <row r="477" spans="1:29" ht="14.2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</row>
    <row r="478" spans="1:29" ht="14.2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</row>
    <row r="479" spans="1:29" ht="14.2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</row>
    <row r="480" spans="1:29" ht="14.2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</row>
    <row r="481" spans="1:29" ht="14.2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</row>
    <row r="482" spans="1:29" ht="14.2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</row>
    <row r="483" spans="1:29" ht="14.2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</row>
    <row r="484" spans="1:29" ht="14.2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</row>
    <row r="485" spans="1:29" ht="14.2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</row>
    <row r="486" spans="1:29" ht="14.2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</row>
    <row r="487" spans="1:29" ht="14.2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</row>
    <row r="488" spans="1:29" ht="14.2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</row>
    <row r="489" spans="1:29" ht="14.2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</row>
    <row r="490" spans="1:29" ht="14.2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</row>
    <row r="491" spans="1:29" ht="14.2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</row>
    <row r="492" spans="1:29" ht="14.2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</row>
    <row r="493" spans="1:29" ht="14.2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</row>
    <row r="494" spans="1:29" ht="14.2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</row>
    <row r="495" spans="1:29" ht="14.2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</row>
    <row r="496" spans="1:29" ht="14.2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</row>
    <row r="497" spans="1:29" ht="14.2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</row>
    <row r="498" spans="1:29" ht="14.2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</row>
    <row r="499" spans="1:29" ht="14.2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</row>
    <row r="500" spans="1:29" ht="14.2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</row>
    <row r="501" spans="1:29" ht="14.2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</row>
    <row r="502" spans="1:29" ht="14.2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</row>
    <row r="503" spans="1:29" ht="14.2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</row>
    <row r="504" spans="1:29" ht="14.2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</row>
    <row r="505" spans="1:29" ht="14.2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</row>
    <row r="506" spans="1:29" ht="14.2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</row>
    <row r="507" spans="1:29" ht="14.2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</row>
    <row r="508" spans="1:29" ht="14.2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</row>
    <row r="509" spans="1:29" ht="14.2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</row>
    <row r="510" spans="1:29" ht="14.2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</row>
    <row r="511" spans="1:29" ht="14.2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</row>
    <row r="512" spans="1:29" ht="14.2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</row>
    <row r="513" spans="1:29" ht="14.2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</row>
    <row r="514" spans="1:29" ht="14.2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</row>
    <row r="515" spans="1:29" ht="14.2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</row>
    <row r="516" spans="1:29" ht="14.2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</row>
    <row r="517" spans="1:29" ht="14.2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</row>
    <row r="518" spans="1:29" ht="14.2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</row>
    <row r="519" spans="1:29" ht="14.2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</row>
    <row r="520" spans="1:29" ht="14.2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</row>
    <row r="521" spans="1:29" ht="14.2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</row>
    <row r="522" spans="1:29" ht="14.2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</row>
    <row r="523" spans="1:29" ht="14.2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</row>
    <row r="524" spans="1:29" ht="14.2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</row>
    <row r="525" spans="1:29" ht="14.2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</row>
    <row r="526" spans="1:29" ht="14.2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</row>
    <row r="527" spans="1:29" ht="14.2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</row>
    <row r="528" spans="1:29" ht="14.2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</row>
    <row r="529" spans="1:29" ht="14.2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</row>
    <row r="530" spans="1:29" ht="14.2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</row>
    <row r="531" spans="1:29" ht="14.2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</row>
    <row r="532" spans="1:29" ht="14.2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</row>
    <row r="533" spans="1:29" ht="14.2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</row>
    <row r="534" spans="1:29" ht="14.2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</row>
    <row r="535" spans="1:29" ht="14.2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</row>
    <row r="536" spans="1:29" ht="14.2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</row>
    <row r="537" spans="1:29" ht="14.2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</row>
    <row r="538" spans="1:29" ht="14.2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</row>
    <row r="539" spans="1:29" ht="14.2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</row>
    <row r="540" spans="1:29" ht="14.2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</row>
    <row r="541" spans="1:29" ht="14.2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</row>
    <row r="542" spans="1:29" ht="14.2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</row>
    <row r="543" spans="1:29" ht="14.2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</row>
    <row r="544" spans="1:29" ht="14.2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</row>
    <row r="545" spans="1:29" ht="14.2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</row>
    <row r="546" spans="1:29" ht="14.2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</row>
    <row r="547" spans="1:29" ht="14.2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</row>
    <row r="548" spans="1:29" ht="14.2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</row>
    <row r="549" spans="1:29" ht="14.2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</row>
    <row r="550" spans="1:29" ht="14.2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</row>
    <row r="551" spans="1:29" ht="14.2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</row>
    <row r="552" spans="1:29" ht="14.2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</row>
    <row r="553" spans="1:29" ht="14.2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</row>
    <row r="554" spans="1:29" ht="14.2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</row>
    <row r="555" spans="1:29" ht="14.2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</row>
    <row r="556" spans="1:29" ht="14.2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</row>
    <row r="557" spans="1:29" ht="14.2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</row>
    <row r="558" spans="1:29" ht="14.2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</row>
    <row r="559" spans="1:29" ht="14.2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</row>
    <row r="560" spans="1:29" ht="14.2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</row>
    <row r="561" spans="1:29" ht="14.2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</row>
    <row r="562" spans="1:29" ht="14.2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</row>
    <row r="563" spans="1:29" ht="14.2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</row>
    <row r="564" spans="1:29" ht="14.2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</row>
    <row r="565" spans="1:29" ht="14.2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</row>
    <row r="566" spans="1:29" ht="14.2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</row>
    <row r="567" spans="1:29" ht="14.2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</row>
    <row r="568" spans="1:29" ht="14.2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</row>
    <row r="569" spans="1:29" ht="14.2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</row>
    <row r="570" spans="1:29" ht="14.2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</row>
    <row r="571" spans="1:29" ht="14.2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</row>
    <row r="572" spans="1:29" ht="14.2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</row>
    <row r="573" spans="1:29" ht="14.2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</row>
    <row r="574" spans="1:29" ht="14.2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</row>
    <row r="575" spans="1:29" ht="14.2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</row>
    <row r="576" spans="1:29" ht="14.2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</row>
    <row r="577" spans="1:29" ht="14.2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</row>
    <row r="578" spans="1:29" ht="14.2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</row>
    <row r="579" spans="1:29" ht="14.2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</row>
    <row r="580" spans="1:29" ht="14.2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</row>
    <row r="581" spans="1:29" ht="14.2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</row>
    <row r="582" spans="1:29" ht="14.2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</row>
    <row r="583" spans="1:29" ht="14.2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</row>
    <row r="584" spans="1:29" ht="14.2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</row>
    <row r="585" spans="1:29" ht="14.2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</row>
    <row r="586" spans="1:29" ht="14.2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</row>
    <row r="587" spans="1:29" ht="14.2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</row>
    <row r="588" spans="1:29" ht="14.2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</row>
    <row r="589" spans="1:29" ht="14.2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</row>
    <row r="590" spans="1:29" ht="14.2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</row>
    <row r="591" spans="1:29" ht="14.2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</row>
    <row r="592" spans="1:29" ht="14.2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</row>
    <row r="593" spans="1:29" ht="14.2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</row>
    <row r="594" spans="1:29" ht="14.2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</row>
    <row r="595" spans="1:29" ht="14.2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</row>
    <row r="596" spans="1:29" ht="14.2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</row>
    <row r="597" spans="1:29" ht="14.2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</row>
    <row r="598" spans="1:29" ht="14.2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</row>
    <row r="599" spans="1:29" ht="14.2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</row>
    <row r="600" spans="1:29" ht="14.2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</row>
    <row r="601" spans="1:29" ht="14.2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</row>
    <row r="602" spans="1:29" ht="14.2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</row>
    <row r="603" spans="1:29" ht="14.2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</row>
    <row r="604" spans="1:29" ht="14.2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</row>
    <row r="605" spans="1:29" ht="14.2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</row>
    <row r="606" spans="1:29" ht="14.2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</row>
    <row r="607" spans="1:29" ht="14.2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</row>
    <row r="608" spans="1:29" ht="14.2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</row>
    <row r="609" spans="1:29" ht="14.2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</row>
    <row r="610" spans="1:29" ht="14.2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</row>
    <row r="611" spans="1:29" ht="14.2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</row>
    <row r="612" spans="1:29" ht="14.2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</row>
    <row r="613" spans="1:29" ht="14.2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</row>
    <row r="614" spans="1:29" ht="14.2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</row>
    <row r="615" spans="1:29" ht="14.2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</row>
    <row r="616" spans="1:29" ht="14.2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</row>
    <row r="617" spans="1:29" ht="14.2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</row>
    <row r="618" spans="1:29" ht="14.2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</row>
    <row r="619" spans="1:29" ht="14.2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</row>
    <row r="620" spans="1:29" ht="14.2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</row>
    <row r="621" spans="1:29" ht="14.2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</row>
    <row r="622" spans="1:29" ht="14.2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</row>
    <row r="623" spans="1:29" ht="14.2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</row>
    <row r="624" spans="1:29" ht="14.2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</row>
    <row r="625" spans="1:29" ht="14.2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</row>
    <row r="626" spans="1:29" ht="14.2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</row>
    <row r="627" spans="1:29" ht="14.2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</row>
    <row r="628" spans="1:29" ht="14.2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</row>
    <row r="629" spans="1:29" ht="14.2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</row>
    <row r="630" spans="1:29" ht="14.2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</row>
    <row r="631" spans="1:29" ht="14.2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</row>
    <row r="632" spans="1:29" ht="14.2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</row>
    <row r="633" spans="1:29" ht="14.2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</row>
    <row r="634" spans="1:29" ht="14.2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</row>
    <row r="635" spans="1:29" ht="14.2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</row>
    <row r="636" spans="1:29" ht="14.2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</row>
    <row r="637" spans="1:29" ht="14.2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</row>
    <row r="638" spans="1:29" ht="14.2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</row>
    <row r="639" spans="1:29" ht="14.2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</row>
    <row r="640" spans="1:29" ht="14.2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</row>
    <row r="641" spans="1:29" ht="14.2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</row>
    <row r="642" spans="1:29" ht="14.2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</row>
    <row r="643" spans="1:29" ht="14.2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</row>
    <row r="644" spans="1:29" ht="14.2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</row>
    <row r="645" spans="1:29" ht="14.2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</row>
    <row r="646" spans="1:29" ht="14.2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</row>
    <row r="647" spans="1:29" ht="14.2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</row>
    <row r="648" spans="1:29" ht="14.2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</row>
    <row r="649" spans="1:29" ht="14.2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</row>
    <row r="650" spans="1:29" ht="14.2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</row>
    <row r="651" spans="1:29" ht="14.2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</row>
    <row r="652" spans="1:29" ht="14.2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</row>
    <row r="653" spans="1:29" ht="14.2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</row>
    <row r="654" spans="1:29" ht="14.2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</row>
    <row r="655" spans="1:29" ht="14.2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</row>
    <row r="656" spans="1:29" ht="14.2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</row>
    <row r="657" spans="1:29" ht="14.2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</row>
    <row r="658" spans="1:29" ht="14.2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</row>
    <row r="659" spans="1:29" ht="14.2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</row>
    <row r="660" spans="1:29" ht="14.2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</row>
    <row r="661" spans="1:29" ht="14.2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</row>
    <row r="662" spans="1:29" ht="14.2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</row>
    <row r="663" spans="1:29" ht="14.2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</row>
    <row r="664" spans="1:29" ht="14.2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</row>
    <row r="665" spans="1:29" ht="14.2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</row>
    <row r="666" spans="1:29" ht="14.2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</row>
    <row r="667" spans="1:29" ht="14.2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</row>
    <row r="668" spans="1:29" ht="14.2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</row>
    <row r="669" spans="1:29" ht="14.2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</row>
    <row r="670" spans="1:29" ht="14.2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</row>
    <row r="671" spans="1:29" ht="14.2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</row>
    <row r="672" spans="1:29" ht="14.2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</row>
    <row r="673" spans="1:29" ht="14.2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</row>
    <row r="674" spans="1:29" ht="14.2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</row>
    <row r="675" spans="1:29" ht="14.2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</row>
    <row r="676" spans="1:29" ht="14.2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</row>
    <row r="677" spans="1:29" ht="14.2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</row>
    <row r="678" spans="1:29" ht="14.2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</row>
    <row r="679" spans="1:29" ht="14.2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</row>
    <row r="680" spans="1:29" ht="14.2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</row>
    <row r="681" spans="1:29" ht="14.2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</row>
    <row r="682" spans="1:29" ht="14.2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</row>
    <row r="683" spans="1:29" ht="14.2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</row>
    <row r="684" spans="1:29" ht="14.2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</row>
    <row r="685" spans="1:29" ht="14.2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</row>
    <row r="686" spans="1:29" ht="14.2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</row>
    <row r="687" spans="1:29" ht="14.2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</row>
    <row r="688" spans="1:29" ht="14.2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</row>
    <row r="689" spans="1:29" ht="14.2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</row>
    <row r="690" spans="1:29" ht="14.2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</row>
    <row r="691" spans="1:29" ht="14.2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</row>
    <row r="692" spans="1:29" ht="14.2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</row>
    <row r="693" spans="1:29" ht="14.2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</row>
    <row r="694" spans="1:29" ht="14.2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</row>
    <row r="695" spans="1:29" ht="14.2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</row>
    <row r="696" spans="1:29" ht="14.2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</row>
    <row r="697" spans="1:29" ht="14.2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</row>
    <row r="698" spans="1:29" ht="14.2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</row>
    <row r="699" spans="1:29" ht="14.2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</row>
    <row r="700" spans="1:29" ht="14.2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</row>
    <row r="701" spans="1:29" ht="14.2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</row>
    <row r="702" spans="1:29" ht="14.2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</row>
    <row r="703" spans="1:29" ht="14.2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</row>
    <row r="704" spans="1:29" ht="14.2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</row>
    <row r="705" spans="1:29" ht="14.2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</row>
    <row r="706" spans="1:29" ht="14.2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</row>
    <row r="707" spans="1:29" ht="14.2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</row>
    <row r="708" spans="1:29" ht="14.2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</row>
    <row r="709" spans="1:29" ht="14.2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</row>
    <row r="710" spans="1:29" ht="14.2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</row>
    <row r="711" spans="1:29" ht="14.2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</row>
    <row r="712" spans="1:29" ht="14.2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</row>
    <row r="713" spans="1:29" ht="14.2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</row>
    <row r="714" spans="1:29" ht="14.2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</row>
    <row r="715" spans="1:29" ht="14.2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</row>
    <row r="716" spans="1:29" ht="14.2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</row>
    <row r="717" spans="1:29" ht="14.2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</row>
    <row r="718" spans="1:29" ht="14.2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</row>
    <row r="719" spans="1:29" ht="14.2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</row>
    <row r="720" spans="1:29" ht="14.2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</row>
    <row r="721" spans="1:29" ht="14.2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</row>
    <row r="722" spans="1:29" ht="14.2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</row>
    <row r="723" spans="1:29" ht="14.2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</row>
    <row r="724" spans="1:29" ht="14.2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</row>
    <row r="725" spans="1:29" ht="14.2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</row>
    <row r="726" spans="1:29" ht="14.2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</row>
    <row r="727" spans="1:29" ht="14.2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</row>
    <row r="728" spans="1:29" ht="14.2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</row>
    <row r="729" spans="1:29" ht="14.2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</row>
    <row r="730" spans="1:29" ht="14.2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</row>
    <row r="731" spans="1:29" ht="14.2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</row>
    <row r="732" spans="1:29" ht="14.2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</row>
    <row r="733" spans="1:29" ht="14.2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</row>
    <row r="734" spans="1:29" ht="14.2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</row>
    <row r="735" spans="1:29" ht="14.2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</row>
    <row r="736" spans="1:29" ht="14.2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</row>
    <row r="737" spans="1:29" ht="14.2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</row>
    <row r="738" spans="1:29" ht="14.2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</row>
    <row r="739" spans="1:29" ht="14.2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</row>
    <row r="740" spans="1:29" ht="14.2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</row>
    <row r="741" spans="1:29" ht="14.2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</row>
    <row r="742" spans="1:29" ht="14.2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</row>
    <row r="743" spans="1:29" ht="14.2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</row>
    <row r="744" spans="1:29" ht="14.2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</row>
    <row r="745" spans="1:29" ht="14.2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</row>
    <row r="746" spans="1:29" ht="14.2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</row>
    <row r="747" spans="1:29" ht="14.2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</row>
    <row r="748" spans="1:29" ht="14.2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</row>
    <row r="749" spans="1:29" ht="14.2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</row>
    <row r="750" spans="1:29" ht="14.2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</row>
    <row r="751" spans="1:29" ht="14.2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</row>
    <row r="752" spans="1:29" ht="14.2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</row>
    <row r="753" spans="1:29" ht="14.2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</row>
    <row r="754" spans="1:29" ht="14.2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</row>
    <row r="755" spans="1:29" ht="14.2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</row>
    <row r="756" spans="1:29" ht="14.2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</row>
    <row r="757" spans="1:29" ht="14.2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</row>
    <row r="758" spans="1:29" ht="14.2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</row>
    <row r="759" spans="1:29" ht="14.2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</row>
    <row r="760" spans="1:29" ht="14.2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</row>
    <row r="761" spans="1:29" ht="14.2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</row>
    <row r="762" spans="1:29" ht="14.2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</row>
    <row r="763" spans="1:29" ht="14.2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</row>
    <row r="764" spans="1:29" ht="14.2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</row>
    <row r="765" spans="1:29" ht="14.2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</row>
    <row r="766" spans="1:29" ht="14.2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</row>
    <row r="767" spans="1:29" ht="14.2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</row>
    <row r="768" spans="1:29" ht="14.2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</row>
    <row r="769" spans="1:29" ht="14.2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</row>
    <row r="770" spans="1:29" ht="14.2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</row>
    <row r="771" spans="1:29" ht="14.2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</row>
    <row r="772" spans="1:29" ht="14.2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</row>
    <row r="773" spans="1:29" ht="14.2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</row>
    <row r="774" spans="1:29" ht="14.2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</row>
    <row r="775" spans="1:29" ht="14.2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</row>
    <row r="776" spans="1:29" ht="14.2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</row>
    <row r="777" spans="1:29" ht="14.2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</row>
    <row r="778" spans="1:29" ht="14.2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</row>
    <row r="779" spans="1:29" ht="14.2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</row>
    <row r="780" spans="1:29" ht="14.2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</row>
    <row r="781" spans="1:29" ht="14.2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</row>
    <row r="782" spans="1:29" ht="14.2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</row>
    <row r="783" spans="1:29" ht="14.2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</row>
    <row r="784" spans="1:29" ht="14.2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</row>
    <row r="785" spans="1:29" ht="14.2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</row>
    <row r="786" spans="1:29" ht="14.2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</row>
    <row r="787" spans="1:29" ht="14.2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</row>
    <row r="788" spans="1:29" ht="14.2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</row>
    <row r="789" spans="1:29" ht="14.2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</row>
    <row r="790" spans="1:29" ht="14.2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</row>
    <row r="791" spans="1:29" ht="14.2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</row>
    <row r="792" spans="1:29" ht="14.2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</row>
    <row r="793" spans="1:29" ht="14.2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</row>
    <row r="794" spans="1:29" ht="14.2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</row>
    <row r="795" spans="1:29" ht="14.2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</row>
    <row r="796" spans="1:29" ht="14.2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</row>
    <row r="797" spans="1:29" ht="14.2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</row>
    <row r="798" spans="1:29" ht="14.2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</row>
    <row r="799" spans="1:29" ht="14.2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</row>
    <row r="800" spans="1:29" ht="14.2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</row>
    <row r="801" spans="1:29" ht="14.2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</row>
    <row r="802" spans="1:29" ht="14.2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</row>
    <row r="803" spans="1:29" ht="14.2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</row>
    <row r="804" spans="1:29" ht="14.2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</row>
    <row r="805" spans="1:29" ht="14.2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</row>
    <row r="806" spans="1:29" ht="14.2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</row>
    <row r="807" spans="1:29" ht="14.2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</row>
    <row r="808" spans="1:29" ht="14.2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</row>
    <row r="809" spans="1:29" ht="14.2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</row>
    <row r="810" spans="1:29" ht="14.2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</row>
    <row r="811" spans="1:29" ht="14.2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</row>
    <row r="812" spans="1:29" ht="14.2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</row>
    <row r="813" spans="1:29" ht="14.2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</row>
    <row r="814" spans="1:29" ht="14.2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</row>
    <row r="815" spans="1:29" ht="14.2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</row>
    <row r="816" spans="1:29" ht="14.2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</row>
    <row r="817" spans="1:29" ht="14.2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</row>
    <row r="818" spans="1:29" ht="14.2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</row>
    <row r="819" spans="1:29" ht="14.2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</row>
    <row r="820" spans="1:29" ht="14.2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</row>
    <row r="821" spans="1:29" ht="14.2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</row>
    <row r="822" spans="1:29" ht="14.2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</row>
    <row r="823" spans="1:29" ht="14.2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</row>
    <row r="824" spans="1:29" ht="14.2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</row>
    <row r="825" spans="1:29" ht="14.2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</row>
    <row r="826" spans="1:29" ht="14.2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</row>
    <row r="827" spans="1:29" ht="14.2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</row>
    <row r="828" spans="1:29" ht="14.2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</row>
    <row r="829" spans="1:29" ht="14.2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</row>
    <row r="830" spans="1:29" ht="14.2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</row>
    <row r="831" spans="1:29" ht="14.2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</row>
    <row r="832" spans="1:29" ht="14.2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</row>
    <row r="833" spans="1:29" ht="14.2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</row>
    <row r="834" spans="1:29" ht="14.2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</row>
    <row r="835" spans="1:29" ht="14.2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</row>
    <row r="836" spans="1:29" ht="14.2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</row>
    <row r="837" spans="1:29" ht="14.2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</row>
    <row r="838" spans="1:29" ht="14.2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</row>
    <row r="839" spans="1:29" ht="14.2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</row>
    <row r="840" spans="1:29" ht="14.2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</row>
    <row r="841" spans="1:29" ht="14.2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</row>
    <row r="842" spans="1:29" ht="14.2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</row>
    <row r="843" spans="1:29" ht="14.2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</row>
    <row r="844" spans="1:29" ht="14.2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</row>
    <row r="845" spans="1:29" ht="14.2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</row>
    <row r="846" spans="1:29" ht="14.2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</row>
    <row r="847" spans="1:29" ht="14.2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</row>
    <row r="848" spans="1:29" ht="14.2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</row>
    <row r="849" spans="1:29" ht="14.2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</row>
    <row r="850" spans="1:29" ht="14.2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</row>
    <row r="851" spans="1:29" ht="14.2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</row>
    <row r="852" spans="1:29" ht="14.2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</row>
    <row r="853" spans="1:29" ht="14.2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</row>
    <row r="854" spans="1:29" ht="14.2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</row>
    <row r="855" spans="1:29" ht="14.2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</row>
    <row r="856" spans="1:29" ht="14.2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</row>
    <row r="857" spans="1:29" ht="14.2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</row>
    <row r="858" spans="1:29" ht="14.2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</row>
    <row r="859" spans="1:29" ht="14.2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</row>
    <row r="860" spans="1:29" ht="14.2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</row>
    <row r="861" spans="1:29" ht="14.2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</row>
    <row r="862" spans="1:29" ht="14.2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</row>
    <row r="863" spans="1:29" ht="14.2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</row>
    <row r="864" spans="1:29" ht="14.2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</row>
    <row r="865" spans="1:29" ht="14.2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</row>
    <row r="866" spans="1:29" ht="14.2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</row>
    <row r="867" spans="1:29" ht="14.2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</row>
    <row r="868" spans="1:29" ht="14.2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</row>
    <row r="869" spans="1:29" ht="14.2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</row>
    <row r="870" spans="1:29" ht="14.2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</row>
    <row r="871" spans="1:29" ht="14.2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</row>
    <row r="872" spans="1:29" ht="14.2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</row>
    <row r="873" spans="1:29" ht="14.2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</row>
    <row r="874" spans="1:29" ht="14.2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</row>
    <row r="875" spans="1:29" ht="14.2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</row>
    <row r="876" spans="1:29" ht="14.2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</row>
    <row r="877" spans="1:29" ht="14.2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</row>
    <row r="878" spans="1:29" ht="14.2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</row>
    <row r="879" spans="1:29" ht="14.2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</row>
    <row r="880" spans="1:29" ht="14.2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</row>
    <row r="881" spans="1:29" ht="14.2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</row>
    <row r="882" spans="1:29" ht="14.2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</row>
    <row r="883" spans="1:29" ht="14.2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</row>
    <row r="884" spans="1:29" ht="14.2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</row>
    <row r="885" spans="1:29" ht="14.2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</row>
    <row r="886" spans="1:29" ht="14.2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</row>
    <row r="887" spans="1:29" ht="14.2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</row>
    <row r="888" spans="1:29" ht="14.2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</row>
    <row r="889" spans="1:29" ht="14.2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</row>
    <row r="890" spans="1:29" ht="14.2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</row>
    <row r="891" spans="1:29" ht="14.2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</row>
    <row r="892" spans="1:29" ht="14.2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</row>
    <row r="893" spans="1:29" ht="14.2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</row>
    <row r="894" spans="1:29" ht="14.2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</row>
    <row r="895" spans="1:29" ht="14.2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</row>
    <row r="896" spans="1:29" ht="14.2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</row>
    <row r="897" spans="1:29" ht="14.2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</row>
    <row r="898" spans="1:29" ht="14.2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</row>
    <row r="899" spans="1:29" ht="14.2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</row>
    <row r="900" spans="1:29" ht="14.2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</row>
    <row r="901" spans="1:29" ht="14.2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</row>
    <row r="902" spans="1:29" ht="14.2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</row>
    <row r="903" spans="1:29" ht="14.2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</row>
    <row r="904" spans="1:29" ht="14.2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</row>
    <row r="905" spans="1:29" ht="14.2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</row>
    <row r="906" spans="1:29" ht="14.2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</row>
    <row r="907" spans="1:29" ht="14.2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</row>
    <row r="908" spans="1:29" ht="14.2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</row>
    <row r="909" spans="1:29" ht="14.2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</row>
    <row r="910" spans="1:29" ht="14.2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</row>
    <row r="911" spans="1:29" ht="14.2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</row>
    <row r="912" spans="1:29" ht="14.2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</row>
    <row r="913" spans="1:29" ht="14.2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</row>
    <row r="914" spans="1:29" ht="14.2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</row>
    <row r="915" spans="1:29" ht="14.2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</row>
    <row r="916" spans="1:29" ht="14.2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</row>
    <row r="917" spans="1:29" ht="14.2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</row>
    <row r="918" spans="1:29" ht="14.2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</row>
    <row r="919" spans="1:29" ht="14.2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</row>
    <row r="920" spans="1:29" ht="14.2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</row>
    <row r="921" spans="1:29" ht="14.2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</row>
    <row r="922" spans="1:29" ht="14.2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</row>
    <row r="923" spans="1:29" ht="14.2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</row>
    <row r="924" spans="1:29" ht="14.2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</row>
    <row r="925" spans="1:29" ht="14.2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</row>
    <row r="926" spans="1:29" ht="14.2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</row>
    <row r="927" spans="1:29" ht="14.2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</row>
    <row r="928" spans="1:29" ht="14.2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</row>
    <row r="929" spans="1:29" ht="14.2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</row>
    <row r="930" spans="1:29" ht="14.2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</row>
    <row r="931" spans="1:29" ht="14.2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</row>
    <row r="932" spans="1:29" ht="14.2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</row>
    <row r="933" spans="1:29" ht="14.2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</row>
    <row r="934" spans="1:29" ht="14.2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</row>
    <row r="935" spans="1:29" ht="14.2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</row>
    <row r="936" spans="1:29" ht="14.2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</row>
    <row r="937" spans="1:29" ht="14.2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</row>
    <row r="938" spans="1:29" ht="14.2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</row>
    <row r="939" spans="1:29" ht="14.2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</row>
    <row r="940" spans="1:29" ht="14.2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</row>
    <row r="941" spans="1:29" ht="14.2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</row>
    <row r="942" spans="1:29" ht="14.2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</row>
    <row r="943" spans="1:29" ht="14.2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</row>
    <row r="944" spans="1:29" ht="14.2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</row>
    <row r="945" spans="1:29" ht="14.2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</row>
    <row r="946" spans="1:29" ht="14.2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</row>
    <row r="947" spans="1:29" ht="14.2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</row>
    <row r="948" spans="1:29" ht="14.2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</row>
    <row r="949" spans="1:29" ht="14.2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</row>
    <row r="950" spans="1:29" ht="14.2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</row>
    <row r="951" spans="1:29" ht="14.2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</row>
    <row r="952" spans="1:29" ht="14.2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</row>
    <row r="953" spans="1:29" ht="14.2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</row>
    <row r="954" spans="1:29" ht="14.2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</row>
    <row r="955" spans="1:29" ht="14.2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</row>
    <row r="956" spans="1:29" ht="14.2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</row>
    <row r="957" spans="1:29" ht="14.2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</row>
    <row r="958" spans="1:29" ht="14.2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</row>
    <row r="959" spans="1:29" ht="14.2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</row>
    <row r="960" spans="1:29" ht="14.2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</row>
    <row r="961" spans="1:29" ht="14.2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</row>
    <row r="962" spans="1:29" ht="14.2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</row>
    <row r="963" spans="1:29" ht="14.2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</row>
    <row r="964" spans="1:29" ht="14.2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</row>
    <row r="965" spans="1:29" ht="14.2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</row>
    <row r="966" spans="1:29" ht="14.2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</row>
    <row r="967" spans="1:29" ht="14.2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</row>
    <row r="968" spans="1:29" ht="14.2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</row>
    <row r="969" spans="1:29" ht="14.2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</row>
    <row r="970" spans="1:29" ht="14.2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</row>
    <row r="971" spans="1:29" ht="14.2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</row>
    <row r="972" spans="1:29" ht="14.2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</row>
    <row r="973" spans="1:29" ht="14.2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</row>
    <row r="974" spans="1:29" ht="14.2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</row>
    <row r="975" spans="1:29" ht="14.2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</row>
    <row r="976" spans="1:29" ht="14.2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</row>
    <row r="977" spans="1:29" ht="14.2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</row>
    <row r="978" spans="1:29" ht="14.2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</row>
    <row r="979" spans="1:29" ht="14.2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</row>
    <row r="980" spans="1:29" ht="14.2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</row>
    <row r="981" spans="1:29" ht="14.2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</row>
    <row r="982" spans="1:29" ht="14.2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</row>
    <row r="983" spans="1:29" ht="14.2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</row>
    <row r="984" spans="1:29" ht="14.2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</row>
    <row r="985" spans="1:29" ht="14.2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</row>
    <row r="986" spans="1:29" ht="14.2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</row>
    <row r="987" spans="1:29" ht="14.2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</row>
    <row r="988" spans="1:29" ht="14.2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</row>
    <row r="989" spans="1:29" ht="14.2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</row>
    <row r="990" spans="1:29" ht="14.2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</row>
    <row r="991" spans="1:29" ht="14.2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</row>
    <row r="992" spans="1:29" ht="14.2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</row>
    <row r="993" spans="1:29" ht="14.2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</row>
    <row r="994" spans="1:29" ht="14.2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</row>
    <row r="995" spans="1:29" ht="14.2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</row>
    <row r="996" spans="1:29" ht="14.2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</row>
    <row r="997" spans="1:29" ht="14.2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</row>
    <row r="998" spans="1:29" ht="14.2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</row>
    <row r="999" spans="1:29" ht="14.2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</row>
    <row r="1000" spans="1:29" ht="14.2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</row>
    <row r="1001" spans="1:29" ht="14.25" customHeight="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</row>
    <row r="1002" spans="1:29" ht="14.25" customHeight="1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</row>
    <row r="1003" spans="1:29" ht="14.25" customHeight="1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</row>
    <row r="1004" spans="1:29" ht="14.25" customHeight="1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</row>
    <row r="1005" spans="1:29" ht="14.25" customHeight="1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</row>
    <row r="1006" spans="1:29" ht="14.25" customHeight="1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</row>
    <row r="1007" spans="1:29" ht="14.25" customHeight="1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</row>
    <row r="1008" spans="1:29" ht="14.25" customHeight="1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</row>
    <row r="1009" spans="1:29" ht="14.25" customHeight="1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</row>
    <row r="1010" spans="1:29" ht="14.25" customHeight="1">
      <c r="A1010" s="23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</row>
    <row r="1011" spans="1:29" ht="14.25" customHeight="1">
      <c r="A1011" s="23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</row>
    <row r="1012" spans="1:29" ht="14.25" customHeight="1">
      <c r="A1012" s="23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</row>
    <row r="1013" spans="1:29" ht="14.25" customHeight="1">
      <c r="A1013" s="23"/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</row>
    <row r="1014" spans="1:29" ht="14.25" customHeight="1">
      <c r="A1014" s="23"/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</row>
    <row r="1015" spans="1:29" ht="14.25" customHeight="1">
      <c r="A1015" s="23"/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</row>
    <row r="1016" spans="1:29" ht="14.25" customHeight="1">
      <c r="A1016" s="23"/>
      <c r="B1016" s="23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</row>
    <row r="1017" spans="1:29" ht="14.25" customHeight="1">
      <c r="A1017" s="23"/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</row>
    <row r="1018" spans="1:29" ht="14.25" customHeight="1">
      <c r="A1018" s="23"/>
      <c r="B1018" s="23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</row>
    <row r="1019" spans="1:29" ht="14.25" customHeight="1">
      <c r="A1019" s="23"/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</row>
    <row r="1020" spans="1:29" ht="14.25" customHeight="1">
      <c r="A1020" s="23"/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</row>
    <row r="1021" spans="1:29" ht="14.25" customHeight="1">
      <c r="A1021" s="23"/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</row>
    <row r="1022" spans="1:29" ht="14.25" customHeight="1">
      <c r="A1022" s="23"/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</row>
    <row r="1023" spans="1:29" ht="14.25" customHeight="1">
      <c r="A1023" s="23"/>
      <c r="B1023" s="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</row>
    <row r="1024" spans="1:29" ht="14.25" customHeight="1">
      <c r="A1024" s="23"/>
      <c r="B1024" s="23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</row>
    <row r="1025" spans="1:29" ht="14.25" customHeight="1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</row>
    <row r="1026" spans="1:29" ht="14.25" customHeight="1">
      <c r="A1026" s="23"/>
      <c r="B1026" s="23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</row>
    <row r="1027" spans="1:29" ht="14.25" customHeight="1">
      <c r="A1027" s="23"/>
      <c r="B1027" s="23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23"/>
    </row>
    <row r="1028" spans="1:29" ht="14.25" customHeight="1">
      <c r="A1028" s="23"/>
      <c r="B1028" s="23"/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</row>
    <row r="1029" spans="1:29" ht="14.25" customHeight="1">
      <c r="A1029" s="23"/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23"/>
    </row>
    <row r="1030" spans="1:29" ht="14.25" customHeight="1">
      <c r="A1030" s="23"/>
      <c r="B1030" s="23"/>
      <c r="C1030" s="23"/>
      <c r="D1030" s="23"/>
      <c r="E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</row>
    <row r="1031" spans="1:29" ht="14.25" customHeight="1">
      <c r="A1031" s="23"/>
      <c r="B1031" s="23"/>
      <c r="C1031" s="23"/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23"/>
    </row>
    <row r="1032" spans="1:29" ht="14.25" customHeight="1">
      <c r="A1032" s="23"/>
      <c r="B1032" s="23"/>
      <c r="C1032" s="23"/>
      <c r="D1032" s="23"/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23"/>
    </row>
    <row r="1033" spans="1:29" ht="14.25" customHeight="1">
      <c r="A1033" s="23"/>
      <c r="B1033" s="23"/>
      <c r="C1033" s="23"/>
      <c r="D1033" s="23"/>
      <c r="E1033" s="23"/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23"/>
    </row>
    <row r="1034" spans="1:29" ht="14.25" customHeight="1">
      <c r="A1034" s="23"/>
      <c r="B1034" s="23"/>
      <c r="C1034" s="23"/>
      <c r="D1034" s="23"/>
      <c r="E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23"/>
    </row>
    <row r="1035" spans="1:29" ht="14.25" customHeight="1">
      <c r="A1035" s="23"/>
      <c r="B1035" s="23"/>
      <c r="C1035" s="23"/>
      <c r="D1035" s="23"/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23"/>
    </row>
    <row r="1036" spans="1:29" ht="14.25" customHeight="1">
      <c r="A1036" s="23"/>
      <c r="B1036" s="23"/>
      <c r="C1036" s="23"/>
      <c r="D1036" s="23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</row>
    <row r="1037" spans="1:29" ht="14.25" customHeight="1">
      <c r="A1037" s="23"/>
      <c r="B1037" s="23"/>
      <c r="C1037" s="23"/>
      <c r="D1037" s="23"/>
      <c r="E1037" s="23"/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23"/>
    </row>
    <row r="1038" spans="1:29" ht="14.25" customHeight="1">
      <c r="A1038" s="23"/>
      <c r="B1038" s="23"/>
      <c r="C1038" s="23"/>
      <c r="D1038" s="23"/>
      <c r="E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23"/>
    </row>
    <row r="1039" spans="1:29" ht="14.25" customHeight="1">
      <c r="A1039" s="23"/>
      <c r="B1039" s="23"/>
      <c r="C1039" s="23"/>
      <c r="D1039" s="23"/>
      <c r="E1039" s="23"/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23"/>
    </row>
    <row r="1040" spans="1:29" ht="14.25" customHeight="1">
      <c r="A1040" s="23"/>
      <c r="B1040" s="23"/>
      <c r="C1040" s="23"/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</row>
    <row r="1041" spans="1:29" ht="14.25" customHeight="1">
      <c r="A1041" s="23"/>
      <c r="B1041" s="23"/>
      <c r="C1041" s="23"/>
      <c r="D1041" s="23"/>
      <c r="E1041" s="23"/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23"/>
    </row>
    <row r="1042" spans="1:29" ht="14.25" customHeight="1">
      <c r="A1042" s="23"/>
      <c r="B1042" s="23"/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</row>
    <row r="1043" spans="1:29" ht="14.25" customHeight="1">
      <c r="A1043" s="23"/>
      <c r="B1043" s="23"/>
      <c r="C1043" s="23"/>
      <c r="D1043" s="23"/>
      <c r="E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</row>
    <row r="1044" spans="1:29" ht="14.25" customHeight="1">
      <c r="A1044" s="23"/>
      <c r="B1044" s="23"/>
      <c r="C1044" s="23"/>
      <c r="D1044" s="23"/>
      <c r="E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</row>
    <row r="1045" spans="1:29" ht="14.25" customHeight="1">
      <c r="A1045" s="23"/>
      <c r="B1045" s="23"/>
      <c r="C1045" s="23"/>
      <c r="D1045" s="23"/>
      <c r="E1045" s="23"/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23"/>
    </row>
    <row r="1046" spans="1:29" ht="14.25" customHeight="1">
      <c r="A1046" s="23"/>
      <c r="B1046" s="23"/>
      <c r="C1046" s="23"/>
      <c r="D1046" s="23"/>
      <c r="E1046" s="23"/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23"/>
    </row>
    <row r="1047" spans="1:29" ht="14.25" customHeight="1">
      <c r="A1047" s="23"/>
      <c r="B1047" s="23"/>
      <c r="C1047" s="23"/>
      <c r="D1047" s="23"/>
      <c r="E1047" s="23"/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23"/>
    </row>
    <row r="1048" spans="1:29" ht="14.25" customHeight="1">
      <c r="A1048" s="23"/>
      <c r="B1048" s="23"/>
      <c r="C1048" s="23"/>
      <c r="D1048" s="23"/>
      <c r="E1048" s="23"/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</row>
    <row r="1049" spans="1:29" ht="14.25" customHeight="1">
      <c r="A1049" s="23"/>
      <c r="B1049" s="23"/>
      <c r="C1049" s="23"/>
      <c r="D1049" s="23"/>
      <c r="E1049" s="23"/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2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287"/>
  <sheetViews>
    <sheetView workbookViewId="0"/>
  </sheetViews>
  <sheetFormatPr defaultColWidth="12.6640625" defaultRowHeight="15" customHeight="1"/>
  <sheetData>
    <row r="1" spans="1:15">
      <c r="A1" s="303" t="s">
        <v>137</v>
      </c>
      <c r="B1" s="271" t="s">
        <v>65</v>
      </c>
      <c r="C1" s="271" t="s">
        <v>66</v>
      </c>
      <c r="D1" s="271" t="s">
        <v>67</v>
      </c>
      <c r="E1" s="271" t="s">
        <v>68</v>
      </c>
      <c r="F1" s="271" t="s">
        <v>69</v>
      </c>
      <c r="G1" s="271" t="s">
        <v>70</v>
      </c>
      <c r="H1" s="271" t="s">
        <v>104</v>
      </c>
      <c r="I1" s="271" t="s">
        <v>72</v>
      </c>
      <c r="J1" s="271" t="s">
        <v>73</v>
      </c>
      <c r="K1" s="271" t="s">
        <v>74</v>
      </c>
      <c r="L1" s="271" t="s">
        <v>75</v>
      </c>
      <c r="M1" s="304" t="s">
        <v>76</v>
      </c>
      <c r="N1" s="305" t="s">
        <v>138</v>
      </c>
      <c r="O1" s="244"/>
    </row>
    <row r="2" spans="1:15">
      <c r="A2" s="306" t="s">
        <v>139</v>
      </c>
      <c r="B2" s="307">
        <v>71583.5</v>
      </c>
      <c r="C2" s="307">
        <v>71583.5</v>
      </c>
      <c r="D2" s="307">
        <v>71583.5</v>
      </c>
      <c r="E2" s="307">
        <v>71583.5</v>
      </c>
      <c r="F2" s="307">
        <v>71583.5</v>
      </c>
      <c r="G2" s="307">
        <v>71583.5</v>
      </c>
      <c r="H2" s="307">
        <v>71583.5</v>
      </c>
      <c r="I2" s="307">
        <v>71583.5</v>
      </c>
      <c r="J2" s="307">
        <v>71583.5</v>
      </c>
      <c r="K2" s="307">
        <v>71583.5</v>
      </c>
      <c r="L2" s="307">
        <v>74083.5</v>
      </c>
      <c r="M2" s="308">
        <v>74083.5</v>
      </c>
      <c r="N2" s="212">
        <v>864002</v>
      </c>
      <c r="O2" s="244"/>
    </row>
    <row r="3" spans="1:15">
      <c r="A3" s="306" t="s">
        <v>140</v>
      </c>
      <c r="B3" s="307">
        <v>28633.4</v>
      </c>
      <c r="C3" s="307">
        <v>28633.4</v>
      </c>
      <c r="D3" s="307">
        <v>28633.4</v>
      </c>
      <c r="E3" s="307">
        <v>28633.4</v>
      </c>
      <c r="F3" s="307">
        <v>28633.4</v>
      </c>
      <c r="G3" s="307">
        <v>28633.4</v>
      </c>
      <c r="H3" s="307">
        <v>28633.4</v>
      </c>
      <c r="I3" s="307">
        <v>28633.4</v>
      </c>
      <c r="J3" s="307">
        <v>28633.4</v>
      </c>
      <c r="K3" s="307">
        <v>28633.4</v>
      </c>
      <c r="L3" s="307">
        <v>29633.4</v>
      </c>
      <c r="M3" s="308">
        <v>29633.4</v>
      </c>
      <c r="N3" s="212">
        <v>345600.8</v>
      </c>
      <c r="O3" s="244"/>
    </row>
    <row r="4" spans="1:15">
      <c r="A4" s="306" t="s">
        <v>141</v>
      </c>
      <c r="B4" s="307">
        <v>42950</v>
      </c>
      <c r="C4" s="307">
        <v>42950</v>
      </c>
      <c r="D4" s="307">
        <v>42950</v>
      </c>
      <c r="E4" s="307">
        <v>42950</v>
      </c>
      <c r="F4" s="307">
        <v>42950</v>
      </c>
      <c r="G4" s="307">
        <v>42950</v>
      </c>
      <c r="H4" s="307">
        <v>42950</v>
      </c>
      <c r="I4" s="307">
        <v>42950</v>
      </c>
      <c r="J4" s="307">
        <v>42950</v>
      </c>
      <c r="K4" s="307">
        <v>42950</v>
      </c>
      <c r="L4" s="307">
        <v>44450</v>
      </c>
      <c r="M4" s="308">
        <v>44450</v>
      </c>
      <c r="N4" s="212">
        <v>518401.2</v>
      </c>
      <c r="O4" s="244"/>
    </row>
    <row r="5" spans="1:15">
      <c r="A5" s="309" t="s">
        <v>142</v>
      </c>
      <c r="B5" s="310">
        <v>20000</v>
      </c>
      <c r="C5" s="310">
        <v>20000</v>
      </c>
      <c r="D5" s="310">
        <v>20000</v>
      </c>
      <c r="E5" s="310">
        <v>20000</v>
      </c>
      <c r="F5" s="310">
        <v>20000</v>
      </c>
      <c r="G5" s="310">
        <v>20000</v>
      </c>
      <c r="H5" s="310">
        <v>20000</v>
      </c>
      <c r="I5" s="310">
        <v>20000</v>
      </c>
      <c r="J5" s="310">
        <v>20000</v>
      </c>
      <c r="K5" s="310">
        <v>20000</v>
      </c>
      <c r="L5" s="310">
        <v>20000</v>
      </c>
      <c r="M5" s="311">
        <v>20000</v>
      </c>
      <c r="N5" s="212">
        <v>240000</v>
      </c>
      <c r="O5" s="244"/>
    </row>
    <row r="6" spans="1:15">
      <c r="A6" s="306" t="s">
        <v>143</v>
      </c>
      <c r="B6" s="307">
        <v>143167</v>
      </c>
      <c r="C6" s="307">
        <v>143167</v>
      </c>
      <c r="D6" s="307">
        <v>143167</v>
      </c>
      <c r="E6" s="307">
        <v>143167</v>
      </c>
      <c r="F6" s="307">
        <v>143167</v>
      </c>
      <c r="G6" s="307">
        <v>143167</v>
      </c>
      <c r="H6" s="307">
        <v>143167</v>
      </c>
      <c r="I6" s="307">
        <v>143167</v>
      </c>
      <c r="J6" s="307">
        <v>143167</v>
      </c>
      <c r="K6" s="307">
        <v>143167</v>
      </c>
      <c r="L6" s="307">
        <v>148167</v>
      </c>
      <c r="M6" s="308">
        <v>148167</v>
      </c>
      <c r="N6" s="212">
        <v>1728004</v>
      </c>
      <c r="O6" s="244"/>
    </row>
    <row r="7" spans="1:15">
      <c r="A7" s="306" t="s">
        <v>144</v>
      </c>
      <c r="B7" s="307">
        <v>1800</v>
      </c>
      <c r="C7" s="307">
        <v>1800</v>
      </c>
      <c r="D7" s="307">
        <v>1800</v>
      </c>
      <c r="E7" s="307">
        <v>1800</v>
      </c>
      <c r="F7" s="307">
        <v>1800</v>
      </c>
      <c r="G7" s="307">
        <v>1800</v>
      </c>
      <c r="H7" s="307">
        <v>1800</v>
      </c>
      <c r="I7" s="307">
        <v>1800</v>
      </c>
      <c r="J7" s="307">
        <v>1800</v>
      </c>
      <c r="K7" s="307">
        <v>1800</v>
      </c>
      <c r="L7" s="307">
        <v>1800</v>
      </c>
      <c r="M7" s="308">
        <v>1800</v>
      </c>
      <c r="N7" s="212">
        <v>21600</v>
      </c>
      <c r="O7" s="244"/>
    </row>
    <row r="8" spans="1:15">
      <c r="A8" s="306" t="s">
        <v>145</v>
      </c>
      <c r="B8" s="307">
        <v>1950</v>
      </c>
      <c r="C8" s="307">
        <v>1950</v>
      </c>
      <c r="D8" s="307">
        <v>1950</v>
      </c>
      <c r="E8" s="307">
        <v>1950</v>
      </c>
      <c r="F8" s="307">
        <v>1950</v>
      </c>
      <c r="G8" s="307">
        <v>1950</v>
      </c>
      <c r="H8" s="307">
        <v>1950</v>
      </c>
      <c r="I8" s="307">
        <v>1950</v>
      </c>
      <c r="J8" s="307">
        <v>1950</v>
      </c>
      <c r="K8" s="307">
        <v>1950</v>
      </c>
      <c r="L8" s="307">
        <v>1950</v>
      </c>
      <c r="M8" s="308">
        <v>1950</v>
      </c>
      <c r="N8" s="212">
        <v>23400</v>
      </c>
      <c r="O8" s="244"/>
    </row>
    <row r="9" spans="1:15">
      <c r="A9" s="306" t="s">
        <v>81</v>
      </c>
      <c r="B9" s="307">
        <v>200</v>
      </c>
      <c r="C9" s="307">
        <v>200</v>
      </c>
      <c r="D9" s="307">
        <v>200</v>
      </c>
      <c r="E9" s="307">
        <v>200</v>
      </c>
      <c r="F9" s="307">
        <v>200</v>
      </c>
      <c r="G9" s="307">
        <v>200</v>
      </c>
      <c r="H9" s="307">
        <v>200</v>
      </c>
      <c r="I9" s="307">
        <v>200</v>
      </c>
      <c r="J9" s="307">
        <v>200</v>
      </c>
      <c r="K9" s="307">
        <v>200</v>
      </c>
      <c r="L9" s="307">
        <v>300</v>
      </c>
      <c r="M9" s="308">
        <v>200</v>
      </c>
      <c r="N9" s="212">
        <v>2500</v>
      </c>
      <c r="O9" s="244"/>
    </row>
    <row r="10" spans="1:15">
      <c r="A10" s="306" t="s">
        <v>82</v>
      </c>
      <c r="B10" s="307">
        <v>15306</v>
      </c>
      <c r="C10" s="307">
        <v>15306</v>
      </c>
      <c r="D10" s="307">
        <v>15306</v>
      </c>
      <c r="E10" s="307">
        <v>15306</v>
      </c>
      <c r="F10" s="307">
        <v>15306</v>
      </c>
      <c r="G10" s="307">
        <v>15306</v>
      </c>
      <c r="H10" s="307">
        <v>15306</v>
      </c>
      <c r="I10" s="307">
        <v>15306</v>
      </c>
      <c r="J10" s="307">
        <v>15306</v>
      </c>
      <c r="K10" s="307">
        <v>15306</v>
      </c>
      <c r="L10" s="307">
        <v>16346</v>
      </c>
      <c r="M10" s="308">
        <v>16346</v>
      </c>
      <c r="N10" s="212">
        <v>185752</v>
      </c>
      <c r="O10" s="244"/>
    </row>
    <row r="11" spans="1:15">
      <c r="A11" s="306" t="s">
        <v>146</v>
      </c>
      <c r="B11" s="271"/>
      <c r="C11" s="271"/>
      <c r="D11" s="307">
        <v>25</v>
      </c>
      <c r="E11" s="271"/>
      <c r="F11" s="271"/>
      <c r="G11" s="271"/>
      <c r="H11" s="271"/>
      <c r="I11" s="271"/>
      <c r="J11" s="307">
        <v>25</v>
      </c>
      <c r="K11" s="271"/>
      <c r="L11" s="271"/>
      <c r="M11" s="312"/>
      <c r="N11" s="212">
        <v>50</v>
      </c>
      <c r="O11" s="244"/>
    </row>
    <row r="12" spans="1:15">
      <c r="A12" s="306" t="s">
        <v>147</v>
      </c>
      <c r="B12" s="307">
        <v>19256</v>
      </c>
      <c r="C12" s="307">
        <v>19256</v>
      </c>
      <c r="D12" s="307">
        <v>19281</v>
      </c>
      <c r="E12" s="307">
        <v>19256</v>
      </c>
      <c r="F12" s="307">
        <v>19256</v>
      </c>
      <c r="G12" s="307">
        <v>19256</v>
      </c>
      <c r="H12" s="307">
        <v>19256</v>
      </c>
      <c r="I12" s="307">
        <v>19256</v>
      </c>
      <c r="J12" s="307">
        <v>19281</v>
      </c>
      <c r="K12" s="307">
        <v>19256</v>
      </c>
      <c r="L12" s="307">
        <v>20396</v>
      </c>
      <c r="M12" s="308">
        <v>20296</v>
      </c>
      <c r="N12" s="212">
        <v>233302</v>
      </c>
      <c r="O12" s="244"/>
    </row>
    <row r="13" spans="1:15">
      <c r="A13" s="313" t="s">
        <v>148</v>
      </c>
      <c r="B13" s="314">
        <v>143911</v>
      </c>
      <c r="C13" s="314">
        <v>143911</v>
      </c>
      <c r="D13" s="314">
        <v>143886</v>
      </c>
      <c r="E13" s="314">
        <v>143911</v>
      </c>
      <c r="F13" s="314">
        <v>143911</v>
      </c>
      <c r="G13" s="314">
        <v>143911</v>
      </c>
      <c r="H13" s="314">
        <v>143911</v>
      </c>
      <c r="I13" s="314">
        <v>143911</v>
      </c>
      <c r="J13" s="314">
        <v>143886</v>
      </c>
      <c r="K13" s="314">
        <v>143911</v>
      </c>
      <c r="L13" s="315">
        <v>147771</v>
      </c>
      <c r="M13" s="315">
        <v>147871</v>
      </c>
      <c r="N13" s="212">
        <v>1734702</v>
      </c>
      <c r="O13" s="244"/>
    </row>
    <row r="14" spans="1:15">
      <c r="A14" s="306" t="s">
        <v>149</v>
      </c>
      <c r="B14" s="316">
        <v>163167</v>
      </c>
      <c r="C14" s="316">
        <v>163167</v>
      </c>
      <c r="D14" s="316">
        <v>163167</v>
      </c>
      <c r="E14" s="316">
        <v>163167</v>
      </c>
      <c r="F14" s="316">
        <v>163167</v>
      </c>
      <c r="G14" s="316">
        <v>163167</v>
      </c>
      <c r="H14" s="316">
        <v>163167</v>
      </c>
      <c r="I14" s="316">
        <v>163167</v>
      </c>
      <c r="J14" s="316">
        <v>163167</v>
      </c>
      <c r="K14" s="316">
        <v>163167</v>
      </c>
      <c r="L14" s="307">
        <v>168167</v>
      </c>
      <c r="M14" s="317">
        <v>168167</v>
      </c>
      <c r="N14" s="212">
        <v>1968004</v>
      </c>
      <c r="O14" s="244"/>
    </row>
    <row r="15" spans="1:15">
      <c r="A15" s="318"/>
      <c r="B15" s="244"/>
      <c r="C15" s="244"/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44"/>
      <c r="O15" s="244"/>
    </row>
    <row r="16" spans="1:15">
      <c r="A16" s="318"/>
      <c r="B16" s="244"/>
      <c r="C16" s="244"/>
      <c r="D16" s="244"/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</row>
    <row r="17" spans="1:15">
      <c r="A17" s="319" t="s">
        <v>39</v>
      </c>
      <c r="B17" s="271" t="s">
        <v>65</v>
      </c>
      <c r="C17" s="271" t="s">
        <v>66</v>
      </c>
      <c r="D17" s="271" t="s">
        <v>67</v>
      </c>
      <c r="E17" s="271" t="s">
        <v>68</v>
      </c>
      <c r="F17" s="271" t="s">
        <v>69</v>
      </c>
      <c r="G17" s="271" t="s">
        <v>70</v>
      </c>
      <c r="H17" s="271" t="s">
        <v>104</v>
      </c>
      <c r="I17" s="271" t="s">
        <v>72</v>
      </c>
      <c r="J17" s="271" t="s">
        <v>73</v>
      </c>
      <c r="K17" s="271" t="s">
        <v>74</v>
      </c>
      <c r="L17" s="271" t="s">
        <v>75</v>
      </c>
      <c r="M17" s="271" t="s">
        <v>76</v>
      </c>
      <c r="N17" s="305" t="s">
        <v>138</v>
      </c>
      <c r="O17" s="244"/>
    </row>
    <row r="18" spans="1:15">
      <c r="A18" s="306" t="s">
        <v>139</v>
      </c>
      <c r="B18" s="307">
        <v>38750</v>
      </c>
      <c r="C18" s="307">
        <v>38750</v>
      </c>
      <c r="D18" s="307">
        <v>47187.5</v>
      </c>
      <c r="E18" s="307">
        <v>47187.5</v>
      </c>
      <c r="F18" s="307">
        <v>47187.5</v>
      </c>
      <c r="G18" s="307">
        <v>47187.5</v>
      </c>
      <c r="H18" s="307">
        <v>47187.5</v>
      </c>
      <c r="I18" s="307">
        <v>47187.5</v>
      </c>
      <c r="J18" s="307">
        <v>47187.5</v>
      </c>
      <c r="K18" s="307">
        <v>47187.5</v>
      </c>
      <c r="L18" s="307">
        <v>47187.5</v>
      </c>
      <c r="M18" s="307">
        <v>47187.5</v>
      </c>
      <c r="N18" s="212">
        <v>549375</v>
      </c>
      <c r="O18" s="244"/>
    </row>
    <row r="19" spans="1:15">
      <c r="A19" s="306" t="s">
        <v>140</v>
      </c>
      <c r="B19" s="307">
        <v>15500</v>
      </c>
      <c r="C19" s="307">
        <v>15500</v>
      </c>
      <c r="D19" s="307">
        <v>18875</v>
      </c>
      <c r="E19" s="307">
        <v>18875</v>
      </c>
      <c r="F19" s="307">
        <v>18875</v>
      </c>
      <c r="G19" s="307">
        <v>18875</v>
      </c>
      <c r="H19" s="307">
        <v>18875</v>
      </c>
      <c r="I19" s="307">
        <v>18875</v>
      </c>
      <c r="J19" s="307">
        <v>18875</v>
      </c>
      <c r="K19" s="307">
        <v>18875</v>
      </c>
      <c r="L19" s="307">
        <v>18875</v>
      </c>
      <c r="M19" s="307">
        <v>18875</v>
      </c>
      <c r="N19" s="212">
        <v>219750</v>
      </c>
      <c r="O19" s="244"/>
    </row>
    <row r="20" spans="1:15">
      <c r="A20" s="306" t="s">
        <v>141</v>
      </c>
      <c r="B20" s="307">
        <v>23250</v>
      </c>
      <c r="C20" s="307">
        <v>23250</v>
      </c>
      <c r="D20" s="307">
        <v>28312.5</v>
      </c>
      <c r="E20" s="307">
        <v>28312.5</v>
      </c>
      <c r="F20" s="307">
        <v>28312.5</v>
      </c>
      <c r="G20" s="307">
        <v>28312.5</v>
      </c>
      <c r="H20" s="307">
        <v>28312.5</v>
      </c>
      <c r="I20" s="307">
        <v>28312.5</v>
      </c>
      <c r="J20" s="307">
        <v>28312.5</v>
      </c>
      <c r="K20" s="307">
        <v>28312.5</v>
      </c>
      <c r="L20" s="307">
        <v>28312.5</v>
      </c>
      <c r="M20" s="307">
        <v>28312.5</v>
      </c>
      <c r="N20" s="212">
        <v>329625</v>
      </c>
      <c r="O20" s="244"/>
    </row>
    <row r="21" spans="1:15">
      <c r="A21" s="309" t="s">
        <v>142</v>
      </c>
      <c r="B21" s="320">
        <v>10000</v>
      </c>
      <c r="C21" s="320">
        <v>10000</v>
      </c>
      <c r="D21" s="320">
        <v>15000</v>
      </c>
      <c r="E21" s="320">
        <v>15000</v>
      </c>
      <c r="F21" s="320">
        <v>15000</v>
      </c>
      <c r="G21" s="320">
        <v>15000</v>
      </c>
      <c r="H21" s="320">
        <v>15000</v>
      </c>
      <c r="I21" s="320">
        <v>15000</v>
      </c>
      <c r="J21" s="320">
        <v>15000</v>
      </c>
      <c r="K21" s="320">
        <v>15000</v>
      </c>
      <c r="L21" s="320">
        <v>15000</v>
      </c>
      <c r="M21" s="320">
        <v>15000</v>
      </c>
      <c r="N21" s="212">
        <v>170000</v>
      </c>
      <c r="O21" s="321"/>
    </row>
    <row r="22" spans="1:15">
      <c r="A22" s="306" t="s">
        <v>143</v>
      </c>
      <c r="B22" s="307">
        <v>77500</v>
      </c>
      <c r="C22" s="307">
        <v>77500</v>
      </c>
      <c r="D22" s="307">
        <v>94375</v>
      </c>
      <c r="E22" s="307">
        <v>94375</v>
      </c>
      <c r="F22" s="307">
        <v>94375</v>
      </c>
      <c r="G22" s="307">
        <v>94375</v>
      </c>
      <c r="H22" s="307">
        <v>94375</v>
      </c>
      <c r="I22" s="307">
        <v>94375</v>
      </c>
      <c r="J22" s="307">
        <v>94375</v>
      </c>
      <c r="K22" s="307">
        <v>94375</v>
      </c>
      <c r="L22" s="307">
        <v>94375</v>
      </c>
      <c r="M22" s="307">
        <v>94375</v>
      </c>
      <c r="N22" s="212">
        <v>1098750</v>
      </c>
      <c r="O22" s="244"/>
    </row>
    <row r="23" spans="1:15">
      <c r="A23" s="306" t="s">
        <v>144</v>
      </c>
      <c r="B23" s="307">
        <v>1800</v>
      </c>
      <c r="C23" s="307">
        <v>1800</v>
      </c>
      <c r="D23" s="307">
        <v>1800</v>
      </c>
      <c r="E23" s="307">
        <v>1800</v>
      </c>
      <c r="F23" s="307">
        <v>1800</v>
      </c>
      <c r="G23" s="307">
        <v>1800</v>
      </c>
      <c r="H23" s="307">
        <v>1800</v>
      </c>
      <c r="I23" s="307">
        <v>1800</v>
      </c>
      <c r="J23" s="307">
        <v>1800</v>
      </c>
      <c r="K23" s="307">
        <v>1800</v>
      </c>
      <c r="L23" s="307">
        <v>1800</v>
      </c>
      <c r="M23" s="307">
        <v>1800</v>
      </c>
      <c r="N23" s="212">
        <v>21600</v>
      </c>
      <c r="O23" s="244"/>
    </row>
    <row r="24" spans="1:15">
      <c r="A24" s="306" t="s">
        <v>145</v>
      </c>
      <c r="B24" s="307">
        <v>1950</v>
      </c>
      <c r="C24" s="307">
        <v>1950</v>
      </c>
      <c r="D24" s="307">
        <v>1950</v>
      </c>
      <c r="E24" s="307">
        <v>1950</v>
      </c>
      <c r="F24" s="307">
        <v>1950</v>
      </c>
      <c r="G24" s="307">
        <v>1950</v>
      </c>
      <c r="H24" s="307">
        <v>1950</v>
      </c>
      <c r="I24" s="307">
        <v>1950</v>
      </c>
      <c r="J24" s="307">
        <v>1950</v>
      </c>
      <c r="K24" s="307">
        <v>1950</v>
      </c>
      <c r="L24" s="307">
        <v>1950</v>
      </c>
      <c r="M24" s="307">
        <v>1950</v>
      </c>
      <c r="N24" s="212">
        <v>23400</v>
      </c>
      <c r="O24" s="244"/>
    </row>
    <row r="25" spans="1:15">
      <c r="A25" s="306" t="s">
        <v>81</v>
      </c>
      <c r="B25" s="307">
        <v>200</v>
      </c>
      <c r="C25" s="307">
        <v>200</v>
      </c>
      <c r="D25" s="307">
        <v>200</v>
      </c>
      <c r="E25" s="307">
        <v>200</v>
      </c>
      <c r="F25" s="307">
        <v>200</v>
      </c>
      <c r="G25" s="307">
        <v>200</v>
      </c>
      <c r="H25" s="307">
        <v>200</v>
      </c>
      <c r="I25" s="307">
        <v>200</v>
      </c>
      <c r="J25" s="307">
        <v>200</v>
      </c>
      <c r="K25" s="307">
        <v>200</v>
      </c>
      <c r="L25" s="307">
        <v>300</v>
      </c>
      <c r="M25" s="307">
        <v>200</v>
      </c>
      <c r="N25" s="212">
        <v>2500</v>
      </c>
      <c r="O25" s="244"/>
    </row>
    <row r="26" spans="1:15">
      <c r="A26" s="306" t="s">
        <v>82</v>
      </c>
      <c r="B26" s="307">
        <v>0</v>
      </c>
      <c r="C26" s="307">
        <v>0</v>
      </c>
      <c r="D26" s="307">
        <v>0</v>
      </c>
      <c r="E26" s="307">
        <v>0</v>
      </c>
      <c r="F26" s="307">
        <v>0</v>
      </c>
      <c r="G26" s="307">
        <v>0</v>
      </c>
      <c r="H26" s="307">
        <v>0</v>
      </c>
      <c r="I26" s="307">
        <v>0</v>
      </c>
      <c r="J26" s="307">
        <v>0</v>
      </c>
      <c r="K26" s="307">
        <v>0</v>
      </c>
      <c r="L26" s="307">
        <v>0</v>
      </c>
      <c r="M26" s="307">
        <v>0</v>
      </c>
      <c r="N26" s="212">
        <v>0</v>
      </c>
      <c r="O26" s="244"/>
    </row>
    <row r="27" spans="1:15">
      <c r="A27" s="306" t="s">
        <v>146</v>
      </c>
      <c r="B27" s="271"/>
      <c r="C27" s="271"/>
      <c r="D27" s="307">
        <v>25</v>
      </c>
      <c r="E27" s="271"/>
      <c r="F27" s="271"/>
      <c r="G27" s="271"/>
      <c r="H27" s="271"/>
      <c r="I27" s="271"/>
      <c r="J27" s="307">
        <v>25</v>
      </c>
      <c r="K27" s="271"/>
      <c r="L27" s="271"/>
      <c r="M27" s="271"/>
      <c r="N27" s="212">
        <v>50</v>
      </c>
      <c r="O27" s="244"/>
    </row>
    <row r="28" spans="1:15">
      <c r="A28" s="306" t="s">
        <v>147</v>
      </c>
      <c r="B28" s="307">
        <v>3950</v>
      </c>
      <c r="C28" s="307">
        <v>3950</v>
      </c>
      <c r="D28" s="307">
        <v>3975</v>
      </c>
      <c r="E28" s="307">
        <v>3950</v>
      </c>
      <c r="F28" s="307">
        <v>3950</v>
      </c>
      <c r="G28" s="307">
        <v>3950</v>
      </c>
      <c r="H28" s="307">
        <v>3950</v>
      </c>
      <c r="I28" s="307">
        <v>3950</v>
      </c>
      <c r="J28" s="307">
        <v>3975</v>
      </c>
      <c r="K28" s="307">
        <v>3950</v>
      </c>
      <c r="L28" s="307">
        <v>4050</v>
      </c>
      <c r="M28" s="307">
        <v>3950</v>
      </c>
      <c r="N28" s="212">
        <v>47550</v>
      </c>
      <c r="O28" s="244"/>
    </row>
    <row r="29" spans="1:15">
      <c r="A29" s="313" t="s">
        <v>148</v>
      </c>
      <c r="B29" s="314">
        <v>83550</v>
      </c>
      <c r="C29" s="314">
        <v>83550</v>
      </c>
      <c r="D29" s="314">
        <v>105400</v>
      </c>
      <c r="E29" s="314">
        <v>105425</v>
      </c>
      <c r="F29" s="314">
        <v>105425</v>
      </c>
      <c r="G29" s="314">
        <v>105425</v>
      </c>
      <c r="H29" s="314">
        <v>105425</v>
      </c>
      <c r="I29" s="314">
        <v>105425</v>
      </c>
      <c r="J29" s="314">
        <v>105400</v>
      </c>
      <c r="K29" s="314">
        <v>105425</v>
      </c>
      <c r="L29" s="314">
        <v>105325</v>
      </c>
      <c r="M29" s="314">
        <v>105425</v>
      </c>
      <c r="N29" s="212">
        <v>1221200</v>
      </c>
      <c r="O29" s="244"/>
    </row>
    <row r="30" spans="1:15">
      <c r="A30" s="306" t="s">
        <v>149</v>
      </c>
      <c r="B30" s="322">
        <v>87500</v>
      </c>
      <c r="C30" s="322">
        <v>87500</v>
      </c>
      <c r="D30" s="307">
        <v>109375</v>
      </c>
      <c r="E30" s="307">
        <v>109375</v>
      </c>
      <c r="F30" s="307">
        <v>109375</v>
      </c>
      <c r="G30" s="307">
        <v>109375</v>
      </c>
      <c r="H30" s="307">
        <v>109375</v>
      </c>
      <c r="I30" s="307">
        <v>109375</v>
      </c>
      <c r="J30" s="307">
        <v>109375</v>
      </c>
      <c r="K30" s="307">
        <v>109375</v>
      </c>
      <c r="L30" s="307">
        <v>109375</v>
      </c>
      <c r="M30" s="307">
        <v>109375</v>
      </c>
      <c r="N30" s="212">
        <v>1268750</v>
      </c>
      <c r="O30" s="244"/>
    </row>
    <row r="31" spans="1:15">
      <c r="A31" s="318"/>
      <c r="B31" s="244"/>
      <c r="C31" s="244"/>
      <c r="D31" s="244"/>
      <c r="E31" s="244"/>
      <c r="F31" s="244"/>
      <c r="G31" s="244"/>
      <c r="H31" s="244"/>
      <c r="I31" s="244"/>
      <c r="J31" s="244"/>
      <c r="K31" s="244"/>
      <c r="L31" s="244"/>
      <c r="M31" s="244"/>
      <c r="N31" s="244"/>
      <c r="O31" s="244"/>
    </row>
    <row r="32" spans="1:15">
      <c r="A32" s="318"/>
      <c r="B32" s="244"/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44"/>
    </row>
    <row r="33" spans="1:15">
      <c r="A33" s="319" t="s">
        <v>150</v>
      </c>
      <c r="B33" s="271" t="s">
        <v>65</v>
      </c>
      <c r="C33" s="271" t="s">
        <v>66</v>
      </c>
      <c r="D33" s="271" t="s">
        <v>67</v>
      </c>
      <c r="E33" s="271" t="s">
        <v>68</v>
      </c>
      <c r="F33" s="271" t="s">
        <v>69</v>
      </c>
      <c r="G33" s="271" t="s">
        <v>70</v>
      </c>
      <c r="H33" s="271" t="s">
        <v>104</v>
      </c>
      <c r="I33" s="271" t="s">
        <v>72</v>
      </c>
      <c r="J33" s="271" t="s">
        <v>73</v>
      </c>
      <c r="K33" s="271" t="s">
        <v>74</v>
      </c>
      <c r="L33" s="271" t="s">
        <v>75</v>
      </c>
      <c r="M33" s="271" t="s">
        <v>76</v>
      </c>
      <c r="N33" s="305" t="s">
        <v>138</v>
      </c>
      <c r="O33" s="244"/>
    </row>
    <row r="34" spans="1:15">
      <c r="A34" s="323" t="s">
        <v>139</v>
      </c>
      <c r="B34" s="307">
        <v>59166.5</v>
      </c>
      <c r="C34" s="307">
        <v>59166.5</v>
      </c>
      <c r="D34" s="307">
        <v>68667</v>
      </c>
      <c r="E34" s="307">
        <v>68667</v>
      </c>
      <c r="F34" s="307">
        <v>68667</v>
      </c>
      <c r="G34" s="307">
        <v>68667</v>
      </c>
      <c r="H34" s="307">
        <v>68667</v>
      </c>
      <c r="I34" s="307">
        <v>68667</v>
      </c>
      <c r="J34" s="307">
        <v>68667</v>
      </c>
      <c r="K34" s="307">
        <v>68667</v>
      </c>
      <c r="L34" s="307">
        <v>68667</v>
      </c>
      <c r="M34" s="307">
        <v>68667</v>
      </c>
      <c r="N34" s="212">
        <v>805003</v>
      </c>
      <c r="O34" s="244"/>
    </row>
    <row r="35" spans="1:15">
      <c r="A35" s="323" t="s">
        <v>140</v>
      </c>
      <c r="B35" s="307">
        <v>47333.2</v>
      </c>
      <c r="C35" s="307">
        <v>47333.2</v>
      </c>
      <c r="D35" s="307">
        <v>27466.799999999999</v>
      </c>
      <c r="E35" s="307">
        <v>27466.799999999999</v>
      </c>
      <c r="F35" s="307">
        <v>27466.799999999999</v>
      </c>
      <c r="G35" s="307">
        <v>27466.799999999999</v>
      </c>
      <c r="H35" s="307">
        <v>27466.799999999999</v>
      </c>
      <c r="I35" s="307">
        <v>27466.799999999999</v>
      </c>
      <c r="J35" s="307">
        <v>27466.799999999999</v>
      </c>
      <c r="K35" s="307">
        <v>27466.799999999999</v>
      </c>
      <c r="L35" s="307">
        <v>27466.799999999999</v>
      </c>
      <c r="M35" s="307">
        <v>27466.799999999999</v>
      </c>
      <c r="N35" s="212">
        <v>369334.4</v>
      </c>
      <c r="O35" s="244"/>
    </row>
    <row r="36" spans="1:15">
      <c r="A36" s="323" t="s">
        <v>141</v>
      </c>
      <c r="B36" s="307">
        <v>11833.3</v>
      </c>
      <c r="C36" s="307">
        <v>11833.3</v>
      </c>
      <c r="D36" s="307">
        <v>41200.199999999997</v>
      </c>
      <c r="E36" s="307">
        <v>41200.199999999997</v>
      </c>
      <c r="F36" s="307">
        <v>41200.199999999997</v>
      </c>
      <c r="G36" s="307">
        <v>41200.199999999997</v>
      </c>
      <c r="H36" s="307">
        <v>41200.199999999997</v>
      </c>
      <c r="I36" s="307">
        <v>41200.199999999997</v>
      </c>
      <c r="J36" s="307">
        <v>41200.199999999997</v>
      </c>
      <c r="K36" s="307">
        <v>41200.199999999997</v>
      </c>
      <c r="L36" s="307">
        <v>41200.199999999997</v>
      </c>
      <c r="M36" s="307">
        <v>41200.199999999997</v>
      </c>
      <c r="N36" s="212">
        <v>435668.6</v>
      </c>
      <c r="O36" s="244"/>
    </row>
    <row r="37" spans="1:15">
      <c r="A37" s="324" t="s">
        <v>142</v>
      </c>
      <c r="B37" s="320">
        <v>15000</v>
      </c>
      <c r="C37" s="320">
        <v>15000</v>
      </c>
      <c r="D37" s="320">
        <v>20000</v>
      </c>
      <c r="E37" s="320">
        <v>20000</v>
      </c>
      <c r="F37" s="320">
        <v>20000</v>
      </c>
      <c r="G37" s="320">
        <v>20000</v>
      </c>
      <c r="H37" s="320">
        <v>20000</v>
      </c>
      <c r="I37" s="320">
        <v>20000</v>
      </c>
      <c r="J37" s="320">
        <v>20000</v>
      </c>
      <c r="K37" s="320">
        <v>20000</v>
      </c>
      <c r="L37" s="320">
        <v>20000</v>
      </c>
      <c r="M37" s="320">
        <v>20000</v>
      </c>
      <c r="N37" s="212">
        <v>230000</v>
      </c>
      <c r="O37" s="321"/>
    </row>
    <row r="38" spans="1:15">
      <c r="A38" s="323" t="s">
        <v>143</v>
      </c>
      <c r="B38" s="307">
        <v>118333</v>
      </c>
      <c r="C38" s="307">
        <v>118333</v>
      </c>
      <c r="D38" s="307">
        <v>137334</v>
      </c>
      <c r="E38" s="307">
        <v>137334</v>
      </c>
      <c r="F38" s="307">
        <v>137334</v>
      </c>
      <c r="G38" s="307">
        <v>137334</v>
      </c>
      <c r="H38" s="307">
        <v>137334</v>
      </c>
      <c r="I38" s="307">
        <v>137334</v>
      </c>
      <c r="J38" s="307">
        <v>137334</v>
      </c>
      <c r="K38" s="307">
        <v>137334</v>
      </c>
      <c r="L38" s="307">
        <v>137334</v>
      </c>
      <c r="M38" s="307">
        <v>137334</v>
      </c>
      <c r="N38" s="212">
        <v>1610006</v>
      </c>
      <c r="O38" s="244"/>
    </row>
    <row r="39" spans="1:15">
      <c r="A39" s="323" t="s">
        <v>144</v>
      </c>
      <c r="B39" s="307">
        <v>1800</v>
      </c>
      <c r="C39" s="307">
        <v>1800</v>
      </c>
      <c r="D39" s="307">
        <v>1800</v>
      </c>
      <c r="E39" s="307">
        <v>1800</v>
      </c>
      <c r="F39" s="307">
        <v>1800</v>
      </c>
      <c r="G39" s="307">
        <v>1800</v>
      </c>
      <c r="H39" s="307">
        <v>1800</v>
      </c>
      <c r="I39" s="307">
        <v>1800</v>
      </c>
      <c r="J39" s="307">
        <v>1800</v>
      </c>
      <c r="K39" s="307">
        <v>1800</v>
      </c>
      <c r="L39" s="307">
        <v>1800</v>
      </c>
      <c r="M39" s="307">
        <v>1800</v>
      </c>
      <c r="N39" s="212">
        <v>21600</v>
      </c>
      <c r="O39" s="244"/>
    </row>
    <row r="40" spans="1:15">
      <c r="A40" s="323" t="s">
        <v>145</v>
      </c>
      <c r="B40" s="307">
        <v>1950</v>
      </c>
      <c r="C40" s="307">
        <v>1950</v>
      </c>
      <c r="D40" s="307">
        <v>1950</v>
      </c>
      <c r="E40" s="307">
        <v>1950</v>
      </c>
      <c r="F40" s="307">
        <v>1950</v>
      </c>
      <c r="G40" s="307">
        <v>1950</v>
      </c>
      <c r="H40" s="307">
        <v>1950</v>
      </c>
      <c r="I40" s="307">
        <v>1950</v>
      </c>
      <c r="J40" s="307">
        <v>1950</v>
      </c>
      <c r="K40" s="307">
        <v>1950</v>
      </c>
      <c r="L40" s="307">
        <v>1950</v>
      </c>
      <c r="M40" s="307">
        <v>1950</v>
      </c>
      <c r="N40" s="212">
        <v>23400</v>
      </c>
      <c r="O40" s="244"/>
    </row>
    <row r="41" spans="1:15">
      <c r="A41" s="323" t="s">
        <v>81</v>
      </c>
      <c r="B41" s="307">
        <v>200</v>
      </c>
      <c r="C41" s="307">
        <v>200</v>
      </c>
      <c r="D41" s="307">
        <v>200</v>
      </c>
      <c r="E41" s="307">
        <v>200</v>
      </c>
      <c r="F41" s="307">
        <v>200</v>
      </c>
      <c r="G41" s="307">
        <v>200</v>
      </c>
      <c r="H41" s="307">
        <v>200</v>
      </c>
      <c r="I41" s="307">
        <v>200</v>
      </c>
      <c r="J41" s="307">
        <v>200</v>
      </c>
      <c r="K41" s="307">
        <v>200</v>
      </c>
      <c r="L41" s="307">
        <v>300</v>
      </c>
      <c r="M41" s="307">
        <v>200</v>
      </c>
      <c r="N41" s="212">
        <v>2500</v>
      </c>
      <c r="O41" s="244"/>
    </row>
    <row r="42" spans="1:15">
      <c r="A42" s="323" t="s">
        <v>82</v>
      </c>
      <c r="B42" s="307">
        <v>9425</v>
      </c>
      <c r="C42" s="307">
        <v>9425</v>
      </c>
      <c r="D42" s="307">
        <v>14027</v>
      </c>
      <c r="E42" s="307">
        <v>14027</v>
      </c>
      <c r="F42" s="307">
        <v>14027</v>
      </c>
      <c r="G42" s="307">
        <v>14027</v>
      </c>
      <c r="H42" s="307">
        <v>14027</v>
      </c>
      <c r="I42" s="307">
        <v>14027</v>
      </c>
      <c r="J42" s="307">
        <v>14027</v>
      </c>
      <c r="K42" s="307">
        <v>14027</v>
      </c>
      <c r="L42" s="307">
        <v>14027</v>
      </c>
      <c r="M42" s="307">
        <v>14027</v>
      </c>
      <c r="N42" s="212">
        <v>159120</v>
      </c>
      <c r="O42" s="244"/>
    </row>
    <row r="43" spans="1:15">
      <c r="A43" s="323" t="s">
        <v>146</v>
      </c>
      <c r="B43" s="271"/>
      <c r="C43" s="271"/>
      <c r="D43" s="307">
        <v>25</v>
      </c>
      <c r="E43" s="271"/>
      <c r="F43" s="271"/>
      <c r="G43" s="271"/>
      <c r="H43" s="271"/>
      <c r="I43" s="271"/>
      <c r="J43" s="307">
        <v>25</v>
      </c>
      <c r="K43" s="271"/>
      <c r="L43" s="271"/>
      <c r="M43" s="271"/>
      <c r="N43" s="212">
        <v>50</v>
      </c>
      <c r="O43" s="244"/>
    </row>
    <row r="44" spans="1:15">
      <c r="A44" s="323" t="s">
        <v>147</v>
      </c>
      <c r="B44" s="307">
        <v>13375</v>
      </c>
      <c r="C44" s="307">
        <v>13375</v>
      </c>
      <c r="D44" s="307">
        <v>18002</v>
      </c>
      <c r="E44" s="307">
        <v>17977</v>
      </c>
      <c r="F44" s="307">
        <v>17977</v>
      </c>
      <c r="G44" s="307">
        <v>17977</v>
      </c>
      <c r="H44" s="307">
        <v>17977</v>
      </c>
      <c r="I44" s="307">
        <v>17977</v>
      </c>
      <c r="J44" s="307">
        <v>18002</v>
      </c>
      <c r="K44" s="307">
        <v>17977</v>
      </c>
      <c r="L44" s="307">
        <v>18077</v>
      </c>
      <c r="M44" s="307">
        <v>17977</v>
      </c>
      <c r="N44" s="212">
        <v>206670</v>
      </c>
      <c r="O44" s="244"/>
    </row>
    <row r="45" spans="1:15">
      <c r="A45" s="325" t="s">
        <v>148</v>
      </c>
      <c r="B45" s="314">
        <v>119958</v>
      </c>
      <c r="C45" s="314">
        <v>119958</v>
      </c>
      <c r="D45" s="314">
        <v>139332</v>
      </c>
      <c r="E45" s="314">
        <v>139357</v>
      </c>
      <c r="F45" s="314">
        <v>139357</v>
      </c>
      <c r="G45" s="314">
        <v>139357</v>
      </c>
      <c r="H45" s="314">
        <v>139357</v>
      </c>
      <c r="I45" s="314">
        <v>139357</v>
      </c>
      <c r="J45" s="314">
        <v>139332</v>
      </c>
      <c r="K45" s="314">
        <v>139357</v>
      </c>
      <c r="L45" s="314">
        <v>139257</v>
      </c>
      <c r="M45" s="314">
        <v>139357</v>
      </c>
      <c r="N45" s="212">
        <v>1633336</v>
      </c>
      <c r="O45" s="244"/>
    </row>
    <row r="46" spans="1:15">
      <c r="A46" s="323" t="s">
        <v>149</v>
      </c>
      <c r="B46" s="326">
        <v>133333</v>
      </c>
      <c r="C46" s="326">
        <v>133333</v>
      </c>
      <c r="D46" s="307">
        <v>157334</v>
      </c>
      <c r="E46" s="307">
        <v>157334</v>
      </c>
      <c r="F46" s="307">
        <v>157334</v>
      </c>
      <c r="G46" s="307">
        <v>157334</v>
      </c>
      <c r="H46" s="307">
        <v>157334</v>
      </c>
      <c r="I46" s="307">
        <v>157334</v>
      </c>
      <c r="J46" s="307">
        <v>157334</v>
      </c>
      <c r="K46" s="307">
        <v>157334</v>
      </c>
      <c r="L46" s="307">
        <v>157334</v>
      </c>
      <c r="M46" s="307">
        <v>157334</v>
      </c>
      <c r="N46" s="212">
        <v>1840006</v>
      </c>
      <c r="O46" s="244"/>
    </row>
    <row r="47" spans="1:15">
      <c r="A47" s="318"/>
      <c r="B47" s="244"/>
      <c r="C47" s="244"/>
      <c r="D47" s="244"/>
      <c r="E47" s="244"/>
      <c r="F47" s="244"/>
      <c r="G47" s="244"/>
      <c r="H47" s="244"/>
      <c r="I47" s="244"/>
      <c r="J47" s="244"/>
      <c r="K47" s="244"/>
      <c r="L47" s="244"/>
      <c r="M47" s="244"/>
      <c r="N47" s="244"/>
      <c r="O47" s="244"/>
    </row>
    <row r="48" spans="1:15">
      <c r="A48" s="318"/>
      <c r="B48" s="244"/>
      <c r="C48" s="244"/>
      <c r="D48" s="244"/>
      <c r="E48" s="244"/>
      <c r="F48" s="244"/>
      <c r="G48" s="244"/>
      <c r="H48" s="244"/>
      <c r="I48" s="244"/>
      <c r="J48" s="244"/>
      <c r="K48" s="244"/>
      <c r="L48" s="244"/>
      <c r="M48" s="244"/>
      <c r="N48" s="244"/>
      <c r="O48" s="244"/>
    </row>
    <row r="49" spans="1:15">
      <c r="A49" s="319" t="s">
        <v>151</v>
      </c>
      <c r="B49" s="271" t="s">
        <v>65</v>
      </c>
      <c r="C49" s="271" t="s">
        <v>66</v>
      </c>
      <c r="D49" s="271" t="s">
        <v>67</v>
      </c>
      <c r="E49" s="271" t="s">
        <v>68</v>
      </c>
      <c r="F49" s="271" t="s">
        <v>69</v>
      </c>
      <c r="G49" s="271" t="s">
        <v>70</v>
      </c>
      <c r="H49" s="271" t="s">
        <v>104</v>
      </c>
      <c r="I49" s="271" t="s">
        <v>72</v>
      </c>
      <c r="J49" s="271" t="s">
        <v>73</v>
      </c>
      <c r="K49" s="271" t="s">
        <v>74</v>
      </c>
      <c r="L49" s="271" t="s">
        <v>75</v>
      </c>
      <c r="M49" s="271" t="s">
        <v>76</v>
      </c>
      <c r="N49" s="305" t="s">
        <v>152</v>
      </c>
      <c r="O49" s="244"/>
    </row>
    <row r="50" spans="1:15">
      <c r="A50" s="323" t="s">
        <v>139</v>
      </c>
      <c r="B50" s="307">
        <v>56666.5</v>
      </c>
      <c r="C50" s="307">
        <v>56666.5</v>
      </c>
      <c r="D50" s="307">
        <v>56666.5</v>
      </c>
      <c r="E50" s="307">
        <v>56666.5</v>
      </c>
      <c r="F50" s="307">
        <v>56666.5</v>
      </c>
      <c r="G50" s="307">
        <v>56666.5</v>
      </c>
      <c r="H50" s="307">
        <v>56666.5</v>
      </c>
      <c r="I50" s="307">
        <v>56666.5</v>
      </c>
      <c r="J50" s="307">
        <v>56666.5</v>
      </c>
      <c r="K50" s="307">
        <v>56666.5</v>
      </c>
      <c r="L50" s="307">
        <v>56666.5</v>
      </c>
      <c r="M50" s="307">
        <v>56666.5</v>
      </c>
      <c r="N50" s="212">
        <v>679998</v>
      </c>
      <c r="O50" s="244"/>
    </row>
    <row r="51" spans="1:15">
      <c r="A51" s="323" t="s">
        <v>140</v>
      </c>
      <c r="B51" s="307">
        <v>22666.6</v>
      </c>
      <c r="C51" s="307">
        <v>22666.6</v>
      </c>
      <c r="D51" s="307">
        <v>22666.6</v>
      </c>
      <c r="E51" s="307">
        <v>22666.6</v>
      </c>
      <c r="F51" s="307">
        <v>22666.6</v>
      </c>
      <c r="G51" s="307">
        <v>22666.6</v>
      </c>
      <c r="H51" s="307">
        <v>22666.6</v>
      </c>
      <c r="I51" s="307">
        <v>22666.6</v>
      </c>
      <c r="J51" s="307">
        <v>22666.6</v>
      </c>
      <c r="K51" s="307">
        <v>22666.6</v>
      </c>
      <c r="L51" s="307">
        <v>22666.6</v>
      </c>
      <c r="M51" s="307">
        <v>22666.6</v>
      </c>
      <c r="N51" s="212">
        <v>271999.2</v>
      </c>
      <c r="O51" s="244"/>
    </row>
    <row r="52" spans="1:15">
      <c r="A52" s="323" t="s">
        <v>141</v>
      </c>
      <c r="B52" s="307">
        <v>33999.9</v>
      </c>
      <c r="C52" s="307">
        <v>33999.9</v>
      </c>
      <c r="D52" s="307">
        <v>33999.9</v>
      </c>
      <c r="E52" s="307">
        <v>33999.9</v>
      </c>
      <c r="F52" s="307">
        <v>33999.9</v>
      </c>
      <c r="G52" s="307">
        <v>33999.9</v>
      </c>
      <c r="H52" s="307">
        <v>33999.9</v>
      </c>
      <c r="I52" s="307">
        <v>33999.9</v>
      </c>
      <c r="J52" s="307">
        <v>33999.9</v>
      </c>
      <c r="K52" s="307">
        <v>33999.9</v>
      </c>
      <c r="L52" s="307">
        <v>33999.9</v>
      </c>
      <c r="M52" s="307">
        <v>33999.9</v>
      </c>
      <c r="N52" s="212">
        <v>407998.8</v>
      </c>
      <c r="O52" s="244"/>
    </row>
    <row r="53" spans="1:15">
      <c r="A53" s="324" t="s">
        <v>142</v>
      </c>
      <c r="B53" s="320">
        <v>20000</v>
      </c>
      <c r="C53" s="320">
        <v>20000</v>
      </c>
      <c r="D53" s="320">
        <v>20000</v>
      </c>
      <c r="E53" s="320">
        <v>20000</v>
      </c>
      <c r="F53" s="320">
        <v>20000</v>
      </c>
      <c r="G53" s="320">
        <v>20000</v>
      </c>
      <c r="H53" s="320">
        <v>20000</v>
      </c>
      <c r="I53" s="320">
        <v>20000</v>
      </c>
      <c r="J53" s="320">
        <v>20000</v>
      </c>
      <c r="K53" s="320">
        <v>20000</v>
      </c>
      <c r="L53" s="320">
        <v>20000</v>
      </c>
      <c r="M53" s="320">
        <v>20000</v>
      </c>
      <c r="N53" s="212">
        <v>240000</v>
      </c>
      <c r="O53" s="244"/>
    </row>
    <row r="54" spans="1:15">
      <c r="A54" s="323" t="s">
        <v>143</v>
      </c>
      <c r="B54" s="307">
        <v>113333</v>
      </c>
      <c r="C54" s="307">
        <v>113333</v>
      </c>
      <c r="D54" s="307">
        <v>113333</v>
      </c>
      <c r="E54" s="307">
        <v>113333</v>
      </c>
      <c r="F54" s="307">
        <v>113333</v>
      </c>
      <c r="G54" s="307">
        <v>113333</v>
      </c>
      <c r="H54" s="307">
        <v>113333</v>
      </c>
      <c r="I54" s="307">
        <v>113333</v>
      </c>
      <c r="J54" s="307">
        <v>113333</v>
      </c>
      <c r="K54" s="307">
        <v>113333</v>
      </c>
      <c r="L54" s="307">
        <v>113333</v>
      </c>
      <c r="M54" s="307">
        <v>113333</v>
      </c>
      <c r="N54" s="212">
        <v>1359996</v>
      </c>
      <c r="O54" s="244"/>
    </row>
    <row r="55" spans="1:15">
      <c r="A55" s="323" t="s">
        <v>144</v>
      </c>
      <c r="B55" s="307">
        <v>1800</v>
      </c>
      <c r="C55" s="307">
        <v>1800</v>
      </c>
      <c r="D55" s="307">
        <v>1800</v>
      </c>
      <c r="E55" s="307">
        <v>1800</v>
      </c>
      <c r="F55" s="307">
        <v>1800</v>
      </c>
      <c r="G55" s="307">
        <v>1800</v>
      </c>
      <c r="H55" s="307">
        <v>1800</v>
      </c>
      <c r="I55" s="307">
        <v>1800</v>
      </c>
      <c r="J55" s="307">
        <v>1800</v>
      </c>
      <c r="K55" s="307">
        <v>1800</v>
      </c>
      <c r="L55" s="307">
        <v>1800</v>
      </c>
      <c r="M55" s="307">
        <v>1800</v>
      </c>
      <c r="N55" s="212">
        <v>21600</v>
      </c>
      <c r="O55" s="244"/>
    </row>
    <row r="56" spans="1:15">
      <c r="A56" s="323" t="s">
        <v>145</v>
      </c>
      <c r="B56" s="307">
        <v>1950</v>
      </c>
      <c r="C56" s="307">
        <v>1950</v>
      </c>
      <c r="D56" s="307">
        <v>1950</v>
      </c>
      <c r="E56" s="307">
        <v>1950</v>
      </c>
      <c r="F56" s="307">
        <v>1950</v>
      </c>
      <c r="G56" s="307">
        <v>1950</v>
      </c>
      <c r="H56" s="307">
        <v>1950</v>
      </c>
      <c r="I56" s="307">
        <v>1950</v>
      </c>
      <c r="J56" s="307">
        <v>1950</v>
      </c>
      <c r="K56" s="307">
        <v>1950</v>
      </c>
      <c r="L56" s="307">
        <v>1950</v>
      </c>
      <c r="M56" s="307">
        <v>1950</v>
      </c>
      <c r="N56" s="212">
        <v>23400</v>
      </c>
      <c r="O56" s="244"/>
    </row>
    <row r="57" spans="1:15">
      <c r="A57" s="323" t="s">
        <v>81</v>
      </c>
      <c r="B57" s="307">
        <v>200</v>
      </c>
      <c r="C57" s="307">
        <v>200</v>
      </c>
      <c r="D57" s="307">
        <v>200</v>
      </c>
      <c r="E57" s="307">
        <v>200</v>
      </c>
      <c r="F57" s="307">
        <v>200</v>
      </c>
      <c r="G57" s="307">
        <v>200</v>
      </c>
      <c r="H57" s="307">
        <v>200</v>
      </c>
      <c r="I57" s="307">
        <v>200</v>
      </c>
      <c r="J57" s="307">
        <v>200</v>
      </c>
      <c r="K57" s="307">
        <v>200</v>
      </c>
      <c r="L57" s="307">
        <v>300</v>
      </c>
      <c r="M57" s="307">
        <v>200</v>
      </c>
      <c r="N57" s="212">
        <v>2500</v>
      </c>
      <c r="O57" s="244"/>
    </row>
    <row r="58" spans="1:15">
      <c r="A58" s="323" t="s">
        <v>82</v>
      </c>
      <c r="B58" s="307">
        <v>9425</v>
      </c>
      <c r="C58" s="307">
        <v>9425</v>
      </c>
      <c r="D58" s="307">
        <v>9425</v>
      </c>
      <c r="E58" s="307">
        <v>9425</v>
      </c>
      <c r="F58" s="307">
        <v>9425</v>
      </c>
      <c r="G58" s="307">
        <v>9425</v>
      </c>
      <c r="H58" s="307">
        <v>9425</v>
      </c>
      <c r="I58" s="307">
        <v>9425</v>
      </c>
      <c r="J58" s="307">
        <v>9425</v>
      </c>
      <c r="K58" s="307">
        <v>9425</v>
      </c>
      <c r="L58" s="307">
        <v>9425</v>
      </c>
      <c r="M58" s="307">
        <v>9425</v>
      </c>
      <c r="N58" s="212">
        <v>113100</v>
      </c>
      <c r="O58" s="244"/>
    </row>
    <row r="59" spans="1:15">
      <c r="A59" s="323" t="s">
        <v>146</v>
      </c>
      <c r="B59" s="271"/>
      <c r="C59" s="271"/>
      <c r="D59" s="307">
        <v>25</v>
      </c>
      <c r="E59" s="271"/>
      <c r="F59" s="271"/>
      <c r="G59" s="271"/>
      <c r="H59" s="271"/>
      <c r="I59" s="271"/>
      <c r="J59" s="307">
        <v>25</v>
      </c>
      <c r="K59" s="271"/>
      <c r="L59" s="271"/>
      <c r="M59" s="271"/>
      <c r="N59" s="212">
        <v>50</v>
      </c>
      <c r="O59" s="244"/>
    </row>
    <row r="60" spans="1:15">
      <c r="A60" s="323" t="s">
        <v>147</v>
      </c>
      <c r="B60" s="307">
        <v>13375</v>
      </c>
      <c r="C60" s="307">
        <v>13375</v>
      </c>
      <c r="D60" s="307">
        <v>13400</v>
      </c>
      <c r="E60" s="307">
        <v>13375</v>
      </c>
      <c r="F60" s="307">
        <v>13375</v>
      </c>
      <c r="G60" s="307">
        <v>13375</v>
      </c>
      <c r="H60" s="307">
        <v>13375</v>
      </c>
      <c r="I60" s="307">
        <v>13375</v>
      </c>
      <c r="J60" s="307">
        <v>13400</v>
      </c>
      <c r="K60" s="307">
        <v>13375</v>
      </c>
      <c r="L60" s="307">
        <v>13475</v>
      </c>
      <c r="M60" s="307">
        <v>13375</v>
      </c>
      <c r="N60" s="212">
        <v>160650</v>
      </c>
      <c r="O60" s="244"/>
    </row>
    <row r="61" spans="1:15">
      <c r="A61" s="325" t="s">
        <v>148</v>
      </c>
      <c r="B61" s="314">
        <v>119958</v>
      </c>
      <c r="C61" s="314">
        <v>119958</v>
      </c>
      <c r="D61" s="314">
        <v>119933</v>
      </c>
      <c r="E61" s="314">
        <v>119958</v>
      </c>
      <c r="F61" s="314">
        <v>119958</v>
      </c>
      <c r="G61" s="314">
        <v>119958</v>
      </c>
      <c r="H61" s="314">
        <v>119958</v>
      </c>
      <c r="I61" s="314">
        <v>119958</v>
      </c>
      <c r="J61" s="314">
        <v>119933</v>
      </c>
      <c r="K61" s="314">
        <v>119958</v>
      </c>
      <c r="L61" s="314">
        <v>119858</v>
      </c>
      <c r="M61" s="314">
        <v>119958</v>
      </c>
      <c r="N61" s="212">
        <v>1439346</v>
      </c>
      <c r="O61" s="244"/>
    </row>
    <row r="62" spans="1:15">
      <c r="A62" s="323" t="s">
        <v>149</v>
      </c>
      <c r="B62" s="307">
        <v>133333</v>
      </c>
      <c r="C62" s="307">
        <v>133333</v>
      </c>
      <c r="D62" s="307">
        <v>133333</v>
      </c>
      <c r="E62" s="307">
        <v>133333</v>
      </c>
      <c r="F62" s="307">
        <v>133333</v>
      </c>
      <c r="G62" s="307">
        <v>133333</v>
      </c>
      <c r="H62" s="307">
        <v>133333</v>
      </c>
      <c r="I62" s="307">
        <v>133333</v>
      </c>
      <c r="J62" s="307">
        <v>133333</v>
      </c>
      <c r="K62" s="307">
        <v>133333</v>
      </c>
      <c r="L62" s="307">
        <v>133333</v>
      </c>
      <c r="M62" s="307">
        <v>133333</v>
      </c>
      <c r="N62" s="212">
        <v>1599996</v>
      </c>
      <c r="O62" s="244"/>
    </row>
    <row r="63" spans="1:15">
      <c r="A63" s="318"/>
      <c r="B63" s="244"/>
      <c r="C63" s="244"/>
      <c r="D63" s="244"/>
      <c r="E63" s="244"/>
      <c r="F63" s="244"/>
      <c r="G63" s="244"/>
      <c r="H63" s="244"/>
      <c r="I63" s="244"/>
      <c r="J63" s="244"/>
      <c r="K63" s="244"/>
      <c r="L63" s="244"/>
      <c r="M63" s="244"/>
      <c r="N63" s="244"/>
      <c r="O63" s="244"/>
    </row>
    <row r="64" spans="1:15">
      <c r="A64" s="318"/>
      <c r="B64" s="244"/>
      <c r="C64" s="244"/>
      <c r="D64" s="244"/>
      <c r="E64" s="244"/>
      <c r="F64" s="244"/>
      <c r="G64" s="244"/>
      <c r="H64" s="244"/>
      <c r="I64" s="244"/>
      <c r="J64" s="244"/>
      <c r="K64" s="244"/>
      <c r="L64" s="244"/>
      <c r="M64" s="244"/>
      <c r="N64" s="244"/>
      <c r="O64" s="244"/>
    </row>
    <row r="65" spans="1:15">
      <c r="A65" s="327" t="s">
        <v>54</v>
      </c>
      <c r="B65" s="271" t="s">
        <v>65</v>
      </c>
      <c r="C65" s="271" t="s">
        <v>66</v>
      </c>
      <c r="D65" s="271" t="s">
        <v>67</v>
      </c>
      <c r="E65" s="271" t="s">
        <v>68</v>
      </c>
      <c r="F65" s="271" t="s">
        <v>69</v>
      </c>
      <c r="G65" s="271" t="s">
        <v>70</v>
      </c>
      <c r="H65" s="271" t="s">
        <v>104</v>
      </c>
      <c r="I65" s="271" t="s">
        <v>72</v>
      </c>
      <c r="J65" s="271" t="s">
        <v>73</v>
      </c>
      <c r="K65" s="271" t="s">
        <v>74</v>
      </c>
      <c r="L65" s="271" t="s">
        <v>75</v>
      </c>
      <c r="M65" s="271" t="s">
        <v>76</v>
      </c>
      <c r="N65" s="305" t="s">
        <v>138</v>
      </c>
      <c r="O65" s="244"/>
    </row>
    <row r="66" spans="1:15">
      <c r="A66" s="323" t="s">
        <v>139</v>
      </c>
      <c r="B66" s="307">
        <v>56666.5</v>
      </c>
      <c r="C66" s="307">
        <v>56666.5</v>
      </c>
      <c r="D66" s="307">
        <v>56666.5</v>
      </c>
      <c r="E66" s="307">
        <v>56666.5</v>
      </c>
      <c r="F66" s="307">
        <v>56666.5</v>
      </c>
      <c r="G66" s="307">
        <v>56666.5</v>
      </c>
      <c r="H66" s="307">
        <v>56666.5</v>
      </c>
      <c r="I66" s="307">
        <v>56666.5</v>
      </c>
      <c r="J66" s="307">
        <v>56666.5</v>
      </c>
      <c r="K66" s="307">
        <v>56666.5</v>
      </c>
      <c r="L66" s="307">
        <v>63333.5</v>
      </c>
      <c r="M66" s="307">
        <v>63333.5</v>
      </c>
      <c r="N66" s="212">
        <v>693332</v>
      </c>
      <c r="O66" s="244"/>
    </row>
    <row r="67" spans="1:15">
      <c r="A67" s="323" t="s">
        <v>140</v>
      </c>
      <c r="B67" s="307">
        <v>22666.6</v>
      </c>
      <c r="C67" s="307">
        <v>22666.6</v>
      </c>
      <c r="D67" s="307">
        <v>22666.6</v>
      </c>
      <c r="E67" s="307">
        <v>22666.6</v>
      </c>
      <c r="F67" s="307">
        <v>22666.6</v>
      </c>
      <c r="G67" s="307">
        <v>22666.6</v>
      </c>
      <c r="H67" s="307">
        <v>22666.6</v>
      </c>
      <c r="I67" s="307">
        <v>22666.6</v>
      </c>
      <c r="J67" s="307">
        <v>22666.6</v>
      </c>
      <c r="K67" s="307">
        <v>22666.6</v>
      </c>
      <c r="L67" s="307">
        <v>25333.4</v>
      </c>
      <c r="M67" s="307">
        <v>25333.4</v>
      </c>
      <c r="N67" s="212">
        <v>277332.8</v>
      </c>
      <c r="O67" s="244"/>
    </row>
    <row r="68" spans="1:15">
      <c r="A68" s="323" t="s">
        <v>141</v>
      </c>
      <c r="B68" s="307">
        <v>33999.9</v>
      </c>
      <c r="C68" s="307">
        <v>33999.9</v>
      </c>
      <c r="D68" s="307">
        <v>33999.9</v>
      </c>
      <c r="E68" s="307">
        <v>33999.9</v>
      </c>
      <c r="F68" s="307">
        <v>33999.9</v>
      </c>
      <c r="G68" s="307">
        <v>33999.9</v>
      </c>
      <c r="H68" s="307">
        <v>33999.9</v>
      </c>
      <c r="I68" s="307">
        <v>33999.9</v>
      </c>
      <c r="J68" s="307">
        <v>33999.9</v>
      </c>
      <c r="K68" s="307">
        <v>33999.9</v>
      </c>
      <c r="L68" s="307">
        <v>38000.1</v>
      </c>
      <c r="M68" s="307">
        <v>38000.1</v>
      </c>
      <c r="N68" s="212">
        <v>415999.2</v>
      </c>
      <c r="O68" s="244"/>
    </row>
    <row r="69" spans="1:15">
      <c r="A69" s="324" t="s">
        <v>142</v>
      </c>
      <c r="B69" s="320">
        <v>20000</v>
      </c>
      <c r="C69" s="320">
        <v>20000</v>
      </c>
      <c r="D69" s="320">
        <v>20000</v>
      </c>
      <c r="E69" s="320">
        <v>20000</v>
      </c>
      <c r="F69" s="320">
        <v>20000</v>
      </c>
      <c r="G69" s="320">
        <v>20000</v>
      </c>
      <c r="H69" s="320">
        <v>20000</v>
      </c>
      <c r="I69" s="320">
        <v>20000</v>
      </c>
      <c r="J69" s="320">
        <v>20000</v>
      </c>
      <c r="K69" s="320">
        <v>20000</v>
      </c>
      <c r="L69" s="307">
        <v>20000</v>
      </c>
      <c r="M69" s="307">
        <v>20000</v>
      </c>
      <c r="N69" s="212">
        <v>240000</v>
      </c>
      <c r="O69" s="244"/>
    </row>
    <row r="70" spans="1:15">
      <c r="A70" s="323" t="s">
        <v>143</v>
      </c>
      <c r="B70" s="307">
        <v>113333</v>
      </c>
      <c r="C70" s="307">
        <v>113333</v>
      </c>
      <c r="D70" s="307">
        <v>113333</v>
      </c>
      <c r="E70" s="307">
        <v>113333</v>
      </c>
      <c r="F70" s="307">
        <v>113333</v>
      </c>
      <c r="G70" s="307">
        <v>113333</v>
      </c>
      <c r="H70" s="307">
        <v>113333</v>
      </c>
      <c r="I70" s="307">
        <v>113333</v>
      </c>
      <c r="J70" s="307">
        <v>113333</v>
      </c>
      <c r="K70" s="307">
        <v>113333</v>
      </c>
      <c r="L70" s="307">
        <v>126667</v>
      </c>
      <c r="M70" s="307">
        <v>126667</v>
      </c>
      <c r="N70" s="212">
        <v>1386664</v>
      </c>
      <c r="O70" s="244"/>
    </row>
    <row r="71" spans="1:15">
      <c r="A71" s="323" t="s">
        <v>144</v>
      </c>
      <c r="B71" s="307">
        <v>1800</v>
      </c>
      <c r="C71" s="307">
        <v>1800</v>
      </c>
      <c r="D71" s="307">
        <v>1800</v>
      </c>
      <c r="E71" s="307">
        <v>1800</v>
      </c>
      <c r="F71" s="307">
        <v>1800</v>
      </c>
      <c r="G71" s="307">
        <v>1800</v>
      </c>
      <c r="H71" s="307">
        <v>1800</v>
      </c>
      <c r="I71" s="307">
        <v>1800</v>
      </c>
      <c r="J71" s="307">
        <v>1800</v>
      </c>
      <c r="K71" s="307">
        <v>1800</v>
      </c>
      <c r="L71" s="307">
        <v>1800</v>
      </c>
      <c r="M71" s="307">
        <v>1800</v>
      </c>
      <c r="N71" s="212">
        <v>21600</v>
      </c>
      <c r="O71" s="244"/>
    </row>
    <row r="72" spans="1:15">
      <c r="A72" s="323" t="s">
        <v>145</v>
      </c>
      <c r="B72" s="307">
        <v>1950</v>
      </c>
      <c r="C72" s="307">
        <v>1950</v>
      </c>
      <c r="D72" s="307">
        <v>1950</v>
      </c>
      <c r="E72" s="307">
        <v>1950</v>
      </c>
      <c r="F72" s="307">
        <v>1950</v>
      </c>
      <c r="G72" s="307">
        <v>1950</v>
      </c>
      <c r="H72" s="307">
        <v>1950</v>
      </c>
      <c r="I72" s="307">
        <v>1950</v>
      </c>
      <c r="J72" s="307">
        <v>1950</v>
      </c>
      <c r="K72" s="307">
        <v>1950</v>
      </c>
      <c r="L72" s="307">
        <v>1950</v>
      </c>
      <c r="M72" s="307">
        <v>1950</v>
      </c>
      <c r="N72" s="212">
        <v>23400</v>
      </c>
      <c r="O72" s="244"/>
    </row>
    <row r="73" spans="1:15">
      <c r="A73" s="323" t="s">
        <v>81</v>
      </c>
      <c r="B73" s="307">
        <v>200</v>
      </c>
      <c r="C73" s="307">
        <v>200</v>
      </c>
      <c r="D73" s="307">
        <v>200</v>
      </c>
      <c r="E73" s="307">
        <v>200</v>
      </c>
      <c r="F73" s="307">
        <v>200</v>
      </c>
      <c r="G73" s="307">
        <v>200</v>
      </c>
      <c r="H73" s="307">
        <v>200</v>
      </c>
      <c r="I73" s="307">
        <v>200</v>
      </c>
      <c r="J73" s="307">
        <v>200</v>
      </c>
      <c r="K73" s="307">
        <v>200</v>
      </c>
      <c r="L73" s="307">
        <v>300</v>
      </c>
      <c r="M73" s="307">
        <v>200</v>
      </c>
      <c r="N73" s="212">
        <v>2500</v>
      </c>
      <c r="O73" s="244"/>
    </row>
    <row r="74" spans="1:15">
      <c r="A74" s="323" t="s">
        <v>82</v>
      </c>
      <c r="B74" s="307">
        <v>9425</v>
      </c>
      <c r="C74" s="307">
        <v>9425</v>
      </c>
      <c r="D74" s="307">
        <v>9425</v>
      </c>
      <c r="E74" s="307">
        <v>9425</v>
      </c>
      <c r="F74" s="307">
        <v>9425</v>
      </c>
      <c r="G74" s="307">
        <v>9425</v>
      </c>
      <c r="H74" s="307">
        <v>9425</v>
      </c>
      <c r="I74" s="307">
        <v>9425</v>
      </c>
      <c r="J74" s="307">
        <v>9425</v>
      </c>
      <c r="K74" s="307">
        <v>9425</v>
      </c>
      <c r="L74" s="307">
        <v>11506</v>
      </c>
      <c r="M74" s="307">
        <v>11506</v>
      </c>
      <c r="N74" s="212">
        <v>117262</v>
      </c>
      <c r="O74" s="244"/>
    </row>
    <row r="75" spans="1:15">
      <c r="A75" s="323" t="s">
        <v>146</v>
      </c>
      <c r="B75" s="271"/>
      <c r="C75" s="271"/>
      <c r="D75" s="307">
        <v>25</v>
      </c>
      <c r="E75" s="271"/>
      <c r="F75" s="271"/>
      <c r="G75" s="271"/>
      <c r="H75" s="271"/>
      <c r="I75" s="271"/>
      <c r="J75" s="307">
        <v>25</v>
      </c>
      <c r="K75" s="271"/>
      <c r="L75" s="271"/>
      <c r="M75" s="271"/>
      <c r="N75" s="212">
        <v>50</v>
      </c>
      <c r="O75" s="244"/>
    </row>
    <row r="76" spans="1:15">
      <c r="A76" s="323" t="s">
        <v>147</v>
      </c>
      <c r="B76" s="307">
        <v>13375</v>
      </c>
      <c r="C76" s="307">
        <v>13375</v>
      </c>
      <c r="D76" s="307">
        <v>13400</v>
      </c>
      <c r="E76" s="307">
        <v>13375</v>
      </c>
      <c r="F76" s="307">
        <v>13375</v>
      </c>
      <c r="G76" s="307">
        <v>13375</v>
      </c>
      <c r="H76" s="307">
        <v>13375</v>
      </c>
      <c r="I76" s="307">
        <v>13375</v>
      </c>
      <c r="J76" s="307">
        <v>13400</v>
      </c>
      <c r="K76" s="307">
        <v>13375</v>
      </c>
      <c r="L76" s="307">
        <v>15556</v>
      </c>
      <c r="M76" s="307">
        <v>15456</v>
      </c>
      <c r="N76" s="212">
        <v>164812</v>
      </c>
      <c r="O76" s="244"/>
    </row>
    <row r="77" spans="1:15">
      <c r="A77" s="325" t="s">
        <v>148</v>
      </c>
      <c r="B77" s="314">
        <v>119958</v>
      </c>
      <c r="C77" s="314">
        <v>119958</v>
      </c>
      <c r="D77" s="314">
        <v>119933</v>
      </c>
      <c r="E77" s="314">
        <v>119958</v>
      </c>
      <c r="F77" s="314">
        <v>119958</v>
      </c>
      <c r="G77" s="314">
        <v>119958</v>
      </c>
      <c r="H77" s="314">
        <v>119958</v>
      </c>
      <c r="I77" s="314">
        <v>119958</v>
      </c>
      <c r="J77" s="314">
        <v>119933</v>
      </c>
      <c r="K77" s="314">
        <v>119958</v>
      </c>
      <c r="L77" s="314">
        <v>131111</v>
      </c>
      <c r="M77" s="314">
        <v>131211</v>
      </c>
      <c r="N77" s="212">
        <v>1461852</v>
      </c>
      <c r="O77" s="244"/>
    </row>
    <row r="78" spans="1:15">
      <c r="A78" s="323" t="s">
        <v>149</v>
      </c>
      <c r="B78" s="307">
        <v>133333</v>
      </c>
      <c r="C78" s="307">
        <v>133333</v>
      </c>
      <c r="D78" s="307">
        <v>133333</v>
      </c>
      <c r="E78" s="307">
        <v>133333</v>
      </c>
      <c r="F78" s="307">
        <v>133333</v>
      </c>
      <c r="G78" s="307">
        <v>133333</v>
      </c>
      <c r="H78" s="307">
        <v>133333</v>
      </c>
      <c r="I78" s="307">
        <v>133333</v>
      </c>
      <c r="J78" s="307">
        <v>133333</v>
      </c>
      <c r="K78" s="307">
        <v>133333</v>
      </c>
      <c r="L78" s="307">
        <v>146667</v>
      </c>
      <c r="M78" s="307">
        <v>146667</v>
      </c>
      <c r="N78" s="212">
        <v>1626664</v>
      </c>
      <c r="O78" s="244"/>
    </row>
    <row r="79" spans="1:15">
      <c r="A79" s="318"/>
      <c r="B79" s="244"/>
      <c r="C79" s="244"/>
      <c r="D79" s="244"/>
      <c r="E79" s="244"/>
      <c r="F79" s="244"/>
      <c r="G79" s="244"/>
      <c r="H79" s="244"/>
      <c r="I79" s="244"/>
      <c r="J79" s="244"/>
      <c r="K79" s="244"/>
      <c r="L79" s="244"/>
      <c r="M79" s="244"/>
      <c r="N79" s="244"/>
      <c r="O79" s="244"/>
    </row>
    <row r="80" spans="1:15">
      <c r="A80" s="318"/>
      <c r="B80" s="244"/>
      <c r="C80" s="244"/>
      <c r="D80" s="244"/>
      <c r="E80" s="244"/>
      <c r="F80" s="244"/>
      <c r="G80" s="244"/>
      <c r="H80" s="244"/>
      <c r="I80" s="244"/>
      <c r="J80" s="244"/>
      <c r="K80" s="244"/>
      <c r="L80" s="244"/>
      <c r="M80" s="244"/>
      <c r="N80" s="244"/>
      <c r="O80" s="244"/>
    </row>
    <row r="81" spans="1:15">
      <c r="A81" s="271" t="s">
        <v>41</v>
      </c>
      <c r="B81" s="271" t="s">
        <v>65</v>
      </c>
      <c r="C81" s="271" t="s">
        <v>66</v>
      </c>
      <c r="D81" s="271" t="s">
        <v>67</v>
      </c>
      <c r="E81" s="271" t="s">
        <v>68</v>
      </c>
      <c r="F81" s="271" t="s">
        <v>69</v>
      </c>
      <c r="G81" s="271" t="s">
        <v>70</v>
      </c>
      <c r="H81" s="271" t="s">
        <v>104</v>
      </c>
      <c r="I81" s="271" t="s">
        <v>72</v>
      </c>
      <c r="J81" s="271" t="s">
        <v>73</v>
      </c>
      <c r="K81" s="271" t="s">
        <v>74</v>
      </c>
      <c r="L81" s="271" t="s">
        <v>75</v>
      </c>
      <c r="M81" s="271" t="s">
        <v>76</v>
      </c>
      <c r="N81" s="305" t="s">
        <v>138</v>
      </c>
      <c r="O81" s="244"/>
    </row>
    <row r="82" spans="1:15">
      <c r="A82" s="323" t="s">
        <v>139</v>
      </c>
      <c r="B82" s="307">
        <v>31250</v>
      </c>
      <c r="C82" s="307">
        <v>31250</v>
      </c>
      <c r="D82" s="307">
        <v>34500</v>
      </c>
      <c r="E82" s="307">
        <v>34500</v>
      </c>
      <c r="F82" s="307">
        <v>34500</v>
      </c>
      <c r="G82" s="307">
        <v>34500</v>
      </c>
      <c r="H82" s="307">
        <v>34500</v>
      </c>
      <c r="I82" s="307">
        <v>34500</v>
      </c>
      <c r="J82" s="307">
        <v>34500</v>
      </c>
      <c r="K82" s="307">
        <v>34500</v>
      </c>
      <c r="L82" s="307">
        <v>34500</v>
      </c>
      <c r="M82" s="307">
        <v>34500</v>
      </c>
      <c r="N82" s="328">
        <v>407500</v>
      </c>
      <c r="O82" s="244"/>
    </row>
    <row r="83" spans="1:15">
      <c r="A83" s="323" t="s">
        <v>140</v>
      </c>
      <c r="B83" s="307">
        <v>12500</v>
      </c>
      <c r="C83" s="307">
        <v>12500</v>
      </c>
      <c r="D83" s="307">
        <v>13800</v>
      </c>
      <c r="E83" s="307">
        <v>13800</v>
      </c>
      <c r="F83" s="307">
        <v>13800</v>
      </c>
      <c r="G83" s="307">
        <v>13800</v>
      </c>
      <c r="H83" s="307">
        <v>13800</v>
      </c>
      <c r="I83" s="307">
        <v>13800</v>
      </c>
      <c r="J83" s="307">
        <v>13800</v>
      </c>
      <c r="K83" s="307">
        <v>13800</v>
      </c>
      <c r="L83" s="307">
        <v>13800</v>
      </c>
      <c r="M83" s="307">
        <v>13800</v>
      </c>
      <c r="N83" s="328">
        <v>163000</v>
      </c>
      <c r="O83" s="244"/>
    </row>
    <row r="84" spans="1:15">
      <c r="A84" s="323" t="s">
        <v>141</v>
      </c>
      <c r="B84" s="307">
        <v>18750</v>
      </c>
      <c r="C84" s="307">
        <v>18750</v>
      </c>
      <c r="D84" s="307">
        <v>20700</v>
      </c>
      <c r="E84" s="307">
        <v>20700</v>
      </c>
      <c r="F84" s="307">
        <v>20700</v>
      </c>
      <c r="G84" s="307">
        <v>20700</v>
      </c>
      <c r="H84" s="307">
        <v>20700</v>
      </c>
      <c r="I84" s="307">
        <v>20700</v>
      </c>
      <c r="J84" s="307">
        <v>20700</v>
      </c>
      <c r="K84" s="307">
        <v>20700</v>
      </c>
      <c r="L84" s="307">
        <v>20700</v>
      </c>
      <c r="M84" s="307">
        <v>20700</v>
      </c>
      <c r="N84" s="328">
        <v>244500</v>
      </c>
      <c r="O84" s="244"/>
    </row>
    <row r="85" spans="1:15">
      <c r="A85" s="324" t="s">
        <v>142</v>
      </c>
      <c r="B85" s="307">
        <v>0</v>
      </c>
      <c r="C85" s="307">
        <v>0</v>
      </c>
      <c r="D85" s="307">
        <v>6000</v>
      </c>
      <c r="E85" s="307">
        <v>6000</v>
      </c>
      <c r="F85" s="307">
        <v>6000</v>
      </c>
      <c r="G85" s="307">
        <v>6000</v>
      </c>
      <c r="H85" s="307">
        <v>6000</v>
      </c>
      <c r="I85" s="307">
        <v>6000</v>
      </c>
      <c r="J85" s="307">
        <v>6000</v>
      </c>
      <c r="K85" s="307">
        <v>6000</v>
      </c>
      <c r="L85" s="307">
        <v>6000</v>
      </c>
      <c r="M85" s="307">
        <v>6000</v>
      </c>
      <c r="N85" s="328">
        <v>60000</v>
      </c>
      <c r="O85" s="244"/>
    </row>
    <row r="86" spans="1:15">
      <c r="A86" s="323" t="s">
        <v>143</v>
      </c>
      <c r="B86" s="329">
        <v>62500</v>
      </c>
      <c r="C86" s="329">
        <v>62500</v>
      </c>
      <c r="D86" s="307">
        <v>69000</v>
      </c>
      <c r="E86" s="307">
        <v>69000</v>
      </c>
      <c r="F86" s="307">
        <v>69000</v>
      </c>
      <c r="G86" s="307">
        <v>69000</v>
      </c>
      <c r="H86" s="307">
        <v>69000</v>
      </c>
      <c r="I86" s="307">
        <v>69000</v>
      </c>
      <c r="J86" s="307">
        <v>69000</v>
      </c>
      <c r="K86" s="307">
        <v>69000</v>
      </c>
      <c r="L86" s="307">
        <v>69000</v>
      </c>
      <c r="M86" s="307">
        <v>69000</v>
      </c>
      <c r="N86" s="328">
        <v>815000</v>
      </c>
      <c r="O86" s="244"/>
    </row>
    <row r="87" spans="1:15">
      <c r="A87" s="323" t="s">
        <v>144</v>
      </c>
      <c r="B87" s="307">
        <v>1800</v>
      </c>
      <c r="C87" s="307">
        <v>1800</v>
      </c>
      <c r="D87" s="307">
        <v>1800</v>
      </c>
      <c r="E87" s="307">
        <v>1800</v>
      </c>
      <c r="F87" s="307">
        <v>1800</v>
      </c>
      <c r="G87" s="307">
        <v>1800</v>
      </c>
      <c r="H87" s="307">
        <v>1800</v>
      </c>
      <c r="I87" s="307">
        <v>1800</v>
      </c>
      <c r="J87" s="307">
        <v>1800</v>
      </c>
      <c r="K87" s="307">
        <v>1800</v>
      </c>
      <c r="L87" s="307">
        <v>1800</v>
      </c>
      <c r="M87" s="307">
        <v>1800</v>
      </c>
      <c r="N87" s="328">
        <v>21600</v>
      </c>
      <c r="O87" s="244"/>
    </row>
    <row r="88" spans="1:15">
      <c r="A88" s="323" t="s">
        <v>145</v>
      </c>
      <c r="B88" s="307">
        <v>1950</v>
      </c>
      <c r="C88" s="307">
        <v>1950</v>
      </c>
      <c r="D88" s="307">
        <v>1950</v>
      </c>
      <c r="E88" s="307">
        <v>1950</v>
      </c>
      <c r="F88" s="307">
        <v>1950</v>
      </c>
      <c r="G88" s="307">
        <v>1950</v>
      </c>
      <c r="H88" s="307">
        <v>1950</v>
      </c>
      <c r="I88" s="307">
        <v>1950</v>
      </c>
      <c r="J88" s="307">
        <v>1950</v>
      </c>
      <c r="K88" s="307">
        <v>1950</v>
      </c>
      <c r="L88" s="307">
        <v>1950</v>
      </c>
      <c r="M88" s="307">
        <v>1950</v>
      </c>
      <c r="N88" s="328">
        <v>23400</v>
      </c>
      <c r="O88" s="244"/>
    </row>
    <row r="89" spans="1:15">
      <c r="A89" s="323" t="s">
        <v>81</v>
      </c>
      <c r="B89" s="307">
        <v>200</v>
      </c>
      <c r="C89" s="307">
        <v>200</v>
      </c>
      <c r="D89" s="307">
        <v>200</v>
      </c>
      <c r="E89" s="307">
        <v>200</v>
      </c>
      <c r="F89" s="307">
        <v>200</v>
      </c>
      <c r="G89" s="307">
        <v>200</v>
      </c>
      <c r="H89" s="307">
        <v>200</v>
      </c>
      <c r="I89" s="307">
        <v>200</v>
      </c>
      <c r="J89" s="307">
        <v>200</v>
      </c>
      <c r="K89" s="307">
        <v>200</v>
      </c>
      <c r="L89" s="307">
        <v>300</v>
      </c>
      <c r="M89" s="307">
        <v>200</v>
      </c>
      <c r="N89" s="328">
        <v>2500</v>
      </c>
      <c r="O89" s="244"/>
    </row>
    <row r="90" spans="1:15">
      <c r="A90" s="323" t="s">
        <v>153</v>
      </c>
      <c r="B90" s="271"/>
      <c r="C90" s="271"/>
      <c r="D90" s="330">
        <v>50000</v>
      </c>
      <c r="E90" s="244"/>
      <c r="F90" s="244"/>
      <c r="G90" s="244"/>
      <c r="H90" s="244"/>
      <c r="I90" s="244"/>
      <c r="J90" s="244"/>
      <c r="K90" s="271"/>
      <c r="L90" s="271"/>
      <c r="M90" s="271"/>
      <c r="N90" s="328">
        <v>50000</v>
      </c>
      <c r="O90" s="244"/>
    </row>
    <row r="91" spans="1:15">
      <c r="A91" s="323" t="s">
        <v>146</v>
      </c>
      <c r="B91" s="271"/>
      <c r="C91" s="271"/>
      <c r="D91" s="307">
        <v>25</v>
      </c>
      <c r="E91" s="271"/>
      <c r="F91" s="271"/>
      <c r="G91" s="271"/>
      <c r="H91" s="271"/>
      <c r="I91" s="271"/>
      <c r="J91" s="307">
        <v>25</v>
      </c>
      <c r="K91" s="271"/>
      <c r="L91" s="271"/>
      <c r="M91" s="271"/>
      <c r="N91" s="328">
        <v>50</v>
      </c>
      <c r="O91" s="244"/>
    </row>
    <row r="92" spans="1:15">
      <c r="A92" s="323" t="s">
        <v>147</v>
      </c>
      <c r="B92" s="307">
        <v>3950</v>
      </c>
      <c r="C92" s="307">
        <v>3950</v>
      </c>
      <c r="D92" s="307">
        <v>3975</v>
      </c>
      <c r="E92" s="307">
        <v>3950</v>
      </c>
      <c r="F92" s="307">
        <v>3950</v>
      </c>
      <c r="G92" s="307">
        <v>3950</v>
      </c>
      <c r="H92" s="307">
        <v>3950</v>
      </c>
      <c r="I92" s="307">
        <v>3950</v>
      </c>
      <c r="J92" s="307">
        <v>3975</v>
      </c>
      <c r="K92" s="307">
        <v>3950</v>
      </c>
      <c r="L92" s="307">
        <v>4050</v>
      </c>
      <c r="M92" s="307">
        <v>3950</v>
      </c>
      <c r="N92" s="328">
        <v>47550</v>
      </c>
      <c r="O92" s="244"/>
    </row>
    <row r="93" spans="1:15">
      <c r="A93" s="325" t="s">
        <v>148</v>
      </c>
      <c r="B93" s="314">
        <v>58550</v>
      </c>
      <c r="C93" s="314">
        <v>58550</v>
      </c>
      <c r="D93" s="314">
        <v>121025</v>
      </c>
      <c r="E93" s="314">
        <v>71050</v>
      </c>
      <c r="F93" s="314">
        <v>71050</v>
      </c>
      <c r="G93" s="314">
        <v>71050</v>
      </c>
      <c r="H93" s="314">
        <v>71050</v>
      </c>
      <c r="I93" s="314">
        <v>71050</v>
      </c>
      <c r="J93" s="314">
        <v>71025</v>
      </c>
      <c r="K93" s="314">
        <v>71050</v>
      </c>
      <c r="L93" s="314">
        <v>70950</v>
      </c>
      <c r="M93" s="314">
        <v>71050</v>
      </c>
      <c r="N93" s="328">
        <v>877450</v>
      </c>
      <c r="O93" s="244"/>
    </row>
    <row r="94" spans="1:15">
      <c r="A94" s="323" t="s">
        <v>149</v>
      </c>
      <c r="B94" s="307">
        <v>62500</v>
      </c>
      <c r="C94" s="307">
        <v>62500</v>
      </c>
      <c r="D94" s="307">
        <v>75000</v>
      </c>
      <c r="E94" s="307">
        <v>75000</v>
      </c>
      <c r="F94" s="307">
        <v>75000</v>
      </c>
      <c r="G94" s="307">
        <v>75000</v>
      </c>
      <c r="H94" s="307">
        <v>75000</v>
      </c>
      <c r="I94" s="307">
        <v>75000</v>
      </c>
      <c r="J94" s="307">
        <v>75000</v>
      </c>
      <c r="K94" s="307">
        <v>75000</v>
      </c>
      <c r="L94" s="307">
        <v>75000</v>
      </c>
      <c r="M94" s="307">
        <v>75000</v>
      </c>
      <c r="N94" s="328">
        <v>875000</v>
      </c>
      <c r="O94" s="244"/>
    </row>
    <row r="95" spans="1:15">
      <c r="A95" s="318"/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4"/>
    </row>
    <row r="96" spans="1:15">
      <c r="A96" s="318"/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4"/>
    </row>
    <row r="97" spans="1:15">
      <c r="A97" s="331" t="s">
        <v>44</v>
      </c>
      <c r="B97" s="332" t="s">
        <v>65</v>
      </c>
      <c r="C97" s="332" t="s">
        <v>66</v>
      </c>
      <c r="D97" s="332" t="s">
        <v>67</v>
      </c>
      <c r="E97" s="332" t="s">
        <v>68</v>
      </c>
      <c r="F97" s="332" t="s">
        <v>69</v>
      </c>
      <c r="G97" s="332" t="s">
        <v>70</v>
      </c>
      <c r="H97" s="332" t="s">
        <v>104</v>
      </c>
      <c r="I97" s="332" t="s">
        <v>72</v>
      </c>
      <c r="J97" s="332" t="s">
        <v>73</v>
      </c>
      <c r="K97" s="332" t="s">
        <v>74</v>
      </c>
      <c r="L97" s="332" t="s">
        <v>75</v>
      </c>
      <c r="M97" s="332" t="s">
        <v>76</v>
      </c>
      <c r="N97" s="305" t="s">
        <v>138</v>
      </c>
      <c r="O97" s="244"/>
    </row>
    <row r="98" spans="1:15">
      <c r="A98" s="323" t="s">
        <v>139</v>
      </c>
      <c r="B98" s="307">
        <v>25000</v>
      </c>
      <c r="C98" s="307">
        <v>25000</v>
      </c>
      <c r="D98" s="307">
        <v>28750</v>
      </c>
      <c r="E98" s="307">
        <v>28750</v>
      </c>
      <c r="F98" s="307">
        <v>28750</v>
      </c>
      <c r="G98" s="307">
        <v>28750</v>
      </c>
      <c r="H98" s="307">
        <v>28750</v>
      </c>
      <c r="I98" s="307">
        <v>28750</v>
      </c>
      <c r="J98" s="307">
        <v>28750</v>
      </c>
      <c r="K98" s="307">
        <v>28750</v>
      </c>
      <c r="L98" s="307">
        <v>28750</v>
      </c>
      <c r="M98" s="307">
        <v>28750</v>
      </c>
      <c r="N98" s="328">
        <v>337500</v>
      </c>
      <c r="O98" s="244"/>
    </row>
    <row r="99" spans="1:15">
      <c r="A99" s="323" t="s">
        <v>140</v>
      </c>
      <c r="B99" s="307">
        <v>10000</v>
      </c>
      <c r="C99" s="307">
        <v>10000</v>
      </c>
      <c r="D99" s="307">
        <v>11500</v>
      </c>
      <c r="E99" s="307">
        <v>11500</v>
      </c>
      <c r="F99" s="307">
        <v>11500</v>
      </c>
      <c r="G99" s="307">
        <v>11500</v>
      </c>
      <c r="H99" s="307">
        <v>11500</v>
      </c>
      <c r="I99" s="307">
        <v>11500</v>
      </c>
      <c r="J99" s="307">
        <v>11500</v>
      </c>
      <c r="K99" s="307">
        <v>11500</v>
      </c>
      <c r="L99" s="307">
        <v>11500</v>
      </c>
      <c r="M99" s="307">
        <v>11500</v>
      </c>
      <c r="N99" s="328">
        <v>135000</v>
      </c>
      <c r="O99" s="244"/>
    </row>
    <row r="100" spans="1:15">
      <c r="A100" s="323" t="s">
        <v>141</v>
      </c>
      <c r="B100" s="307">
        <v>15000</v>
      </c>
      <c r="C100" s="307">
        <v>15000</v>
      </c>
      <c r="D100" s="307">
        <v>17250</v>
      </c>
      <c r="E100" s="307">
        <v>17250</v>
      </c>
      <c r="F100" s="307">
        <v>17250</v>
      </c>
      <c r="G100" s="307">
        <v>17250</v>
      </c>
      <c r="H100" s="307">
        <v>17250</v>
      </c>
      <c r="I100" s="307">
        <v>17250</v>
      </c>
      <c r="J100" s="307">
        <v>17250</v>
      </c>
      <c r="K100" s="307">
        <v>17250</v>
      </c>
      <c r="L100" s="307">
        <v>17250</v>
      </c>
      <c r="M100" s="307">
        <v>17250</v>
      </c>
      <c r="N100" s="328">
        <v>202500</v>
      </c>
      <c r="O100" s="244"/>
    </row>
    <row r="101" spans="1:15">
      <c r="A101" s="324" t="s">
        <v>142</v>
      </c>
      <c r="B101" s="307">
        <v>0</v>
      </c>
      <c r="C101" s="307">
        <v>0</v>
      </c>
      <c r="D101" s="307">
        <v>5000</v>
      </c>
      <c r="E101" s="307">
        <v>5000</v>
      </c>
      <c r="F101" s="307">
        <v>5000</v>
      </c>
      <c r="G101" s="307">
        <v>5000</v>
      </c>
      <c r="H101" s="307">
        <v>5000</v>
      </c>
      <c r="I101" s="307">
        <v>5000</v>
      </c>
      <c r="J101" s="307">
        <v>5000</v>
      </c>
      <c r="K101" s="307">
        <v>5000</v>
      </c>
      <c r="L101" s="307">
        <v>5000</v>
      </c>
      <c r="M101" s="307">
        <v>5000</v>
      </c>
      <c r="N101" s="328">
        <v>50000</v>
      </c>
      <c r="O101" s="244"/>
    </row>
    <row r="102" spans="1:15">
      <c r="A102" s="323" t="s">
        <v>143</v>
      </c>
      <c r="B102" s="307">
        <v>50000</v>
      </c>
      <c r="C102" s="307">
        <v>50000</v>
      </c>
      <c r="D102" s="307">
        <v>57500</v>
      </c>
      <c r="E102" s="307">
        <v>57500</v>
      </c>
      <c r="F102" s="307">
        <v>57500</v>
      </c>
      <c r="G102" s="307">
        <v>57500</v>
      </c>
      <c r="H102" s="307">
        <v>57500</v>
      </c>
      <c r="I102" s="307">
        <v>57500</v>
      </c>
      <c r="J102" s="307">
        <v>57500</v>
      </c>
      <c r="K102" s="307">
        <v>57500</v>
      </c>
      <c r="L102" s="307">
        <v>57500</v>
      </c>
      <c r="M102" s="307">
        <v>57500</v>
      </c>
      <c r="N102" s="328">
        <v>675000</v>
      </c>
      <c r="O102" s="244"/>
    </row>
    <row r="103" spans="1:15">
      <c r="A103" s="323" t="s">
        <v>144</v>
      </c>
      <c r="B103" s="307">
        <v>1800</v>
      </c>
      <c r="C103" s="307">
        <v>1800</v>
      </c>
      <c r="D103" s="307">
        <v>1800</v>
      </c>
      <c r="E103" s="307">
        <v>1800</v>
      </c>
      <c r="F103" s="307">
        <v>1800</v>
      </c>
      <c r="G103" s="307">
        <v>1800</v>
      </c>
      <c r="H103" s="307">
        <v>1800</v>
      </c>
      <c r="I103" s="307">
        <v>1800</v>
      </c>
      <c r="J103" s="307">
        <v>1800</v>
      </c>
      <c r="K103" s="307">
        <v>1800</v>
      </c>
      <c r="L103" s="307">
        <v>1800</v>
      </c>
      <c r="M103" s="307">
        <v>1800</v>
      </c>
      <c r="N103" s="328">
        <v>21600</v>
      </c>
      <c r="O103" s="244"/>
    </row>
    <row r="104" spans="1:15">
      <c r="A104" s="323" t="s">
        <v>145</v>
      </c>
      <c r="B104" s="307">
        <v>1950</v>
      </c>
      <c r="C104" s="307">
        <v>1950</v>
      </c>
      <c r="D104" s="307">
        <v>1950</v>
      </c>
      <c r="E104" s="307">
        <v>1950</v>
      </c>
      <c r="F104" s="307">
        <v>1950</v>
      </c>
      <c r="G104" s="307">
        <v>1950</v>
      </c>
      <c r="H104" s="307">
        <v>1950</v>
      </c>
      <c r="I104" s="307">
        <v>1950</v>
      </c>
      <c r="J104" s="307">
        <v>1950</v>
      </c>
      <c r="K104" s="307">
        <v>1950</v>
      </c>
      <c r="L104" s="307">
        <v>1950</v>
      </c>
      <c r="M104" s="307">
        <v>1950</v>
      </c>
      <c r="N104" s="328">
        <v>23400</v>
      </c>
      <c r="O104" s="244"/>
    </row>
    <row r="105" spans="1:15">
      <c r="A105" s="323" t="s">
        <v>81</v>
      </c>
      <c r="B105" s="307">
        <v>200</v>
      </c>
      <c r="C105" s="307">
        <v>200</v>
      </c>
      <c r="D105" s="307">
        <v>200</v>
      </c>
      <c r="E105" s="307">
        <v>200</v>
      </c>
      <c r="F105" s="307">
        <v>200</v>
      </c>
      <c r="G105" s="307">
        <v>200</v>
      </c>
      <c r="H105" s="307">
        <v>200</v>
      </c>
      <c r="I105" s="307">
        <v>200</v>
      </c>
      <c r="J105" s="307">
        <v>200</v>
      </c>
      <c r="K105" s="307">
        <v>200</v>
      </c>
      <c r="L105" s="307">
        <v>300</v>
      </c>
      <c r="M105" s="307">
        <v>200</v>
      </c>
      <c r="N105" s="328">
        <v>2500</v>
      </c>
      <c r="O105" s="244"/>
    </row>
    <row r="106" spans="1:15">
      <c r="A106" s="323" t="s">
        <v>153</v>
      </c>
      <c r="B106" s="271"/>
      <c r="C106" s="271"/>
      <c r="D106" s="307">
        <v>50000</v>
      </c>
      <c r="E106" s="271"/>
      <c r="F106" s="271"/>
      <c r="G106" s="271"/>
      <c r="H106" s="271"/>
      <c r="I106" s="271"/>
      <c r="J106" s="271"/>
      <c r="K106" s="271"/>
      <c r="L106" s="271"/>
      <c r="M106" s="271"/>
      <c r="N106" s="328">
        <v>50000</v>
      </c>
      <c r="O106" s="244"/>
    </row>
    <row r="107" spans="1:15">
      <c r="A107" s="323" t="s">
        <v>146</v>
      </c>
      <c r="B107" s="271"/>
      <c r="C107" s="271"/>
      <c r="D107" s="307">
        <v>25</v>
      </c>
      <c r="E107" s="271"/>
      <c r="F107" s="271"/>
      <c r="G107" s="271"/>
      <c r="H107" s="271"/>
      <c r="I107" s="271"/>
      <c r="J107" s="307">
        <v>25</v>
      </c>
      <c r="K107" s="271"/>
      <c r="L107" s="271"/>
      <c r="M107" s="271"/>
      <c r="N107" s="328">
        <v>50</v>
      </c>
      <c r="O107" s="244"/>
    </row>
    <row r="108" spans="1:15">
      <c r="A108" s="323" t="s">
        <v>147</v>
      </c>
      <c r="B108" s="307">
        <v>3950</v>
      </c>
      <c r="C108" s="307">
        <v>3950</v>
      </c>
      <c r="D108" s="307">
        <v>3975</v>
      </c>
      <c r="E108" s="307">
        <v>3950</v>
      </c>
      <c r="F108" s="307">
        <v>3950</v>
      </c>
      <c r="G108" s="307">
        <v>3950</v>
      </c>
      <c r="H108" s="307">
        <v>3950</v>
      </c>
      <c r="I108" s="307">
        <v>3950</v>
      </c>
      <c r="J108" s="307">
        <v>3975</v>
      </c>
      <c r="K108" s="307">
        <v>3950</v>
      </c>
      <c r="L108" s="307">
        <v>4050</v>
      </c>
      <c r="M108" s="307">
        <v>3950</v>
      </c>
      <c r="N108" s="328">
        <v>47550</v>
      </c>
      <c r="O108" s="244"/>
    </row>
    <row r="109" spans="1:15">
      <c r="A109" s="325" t="s">
        <v>148</v>
      </c>
      <c r="B109" s="314">
        <v>46050</v>
      </c>
      <c r="C109" s="314">
        <v>46050</v>
      </c>
      <c r="D109" s="314">
        <v>108525</v>
      </c>
      <c r="E109" s="314">
        <v>58550</v>
      </c>
      <c r="F109" s="314">
        <v>58550</v>
      </c>
      <c r="G109" s="314">
        <v>58550</v>
      </c>
      <c r="H109" s="314">
        <v>58550</v>
      </c>
      <c r="I109" s="314">
        <v>58550</v>
      </c>
      <c r="J109" s="314">
        <v>58525</v>
      </c>
      <c r="K109" s="314">
        <v>58550</v>
      </c>
      <c r="L109" s="314">
        <v>58450</v>
      </c>
      <c r="M109" s="314">
        <v>58550</v>
      </c>
      <c r="N109" s="328">
        <v>727450</v>
      </c>
      <c r="O109" s="244"/>
    </row>
    <row r="110" spans="1:15">
      <c r="A110" s="323" t="s">
        <v>149</v>
      </c>
      <c r="B110" s="307">
        <v>50000</v>
      </c>
      <c r="C110" s="307">
        <v>50000</v>
      </c>
      <c r="D110" s="307">
        <v>62500</v>
      </c>
      <c r="E110" s="307">
        <v>62500</v>
      </c>
      <c r="F110" s="307">
        <v>62500</v>
      </c>
      <c r="G110" s="307">
        <v>62500</v>
      </c>
      <c r="H110" s="307">
        <v>62500</v>
      </c>
      <c r="I110" s="307">
        <v>62500</v>
      </c>
      <c r="J110" s="307">
        <v>62500</v>
      </c>
      <c r="K110" s="307">
        <v>62500</v>
      </c>
      <c r="L110" s="307">
        <v>62500</v>
      </c>
      <c r="M110" s="307">
        <v>62500</v>
      </c>
      <c r="N110" s="328">
        <v>725000</v>
      </c>
      <c r="O110" s="244"/>
    </row>
    <row r="111" spans="1:15">
      <c r="A111" s="318"/>
      <c r="B111" s="244"/>
      <c r="C111" s="244"/>
      <c r="D111" s="244"/>
      <c r="E111" s="244"/>
      <c r="F111" s="244"/>
      <c r="G111" s="244"/>
      <c r="H111" s="244"/>
      <c r="I111" s="244"/>
      <c r="J111" s="244"/>
      <c r="K111" s="244"/>
      <c r="L111" s="244"/>
      <c r="M111" s="244"/>
      <c r="N111" s="244"/>
      <c r="O111" s="244"/>
    </row>
    <row r="112" spans="1:15">
      <c r="A112" s="318"/>
      <c r="B112" s="244"/>
      <c r="C112" s="244"/>
      <c r="D112" s="244"/>
      <c r="E112" s="244"/>
      <c r="F112" s="244"/>
      <c r="G112" s="244"/>
      <c r="H112" s="244"/>
      <c r="I112" s="244"/>
      <c r="J112" s="244"/>
      <c r="K112" s="244"/>
      <c r="L112" s="244"/>
      <c r="M112" s="244"/>
      <c r="N112" s="244"/>
      <c r="O112" s="244"/>
    </row>
    <row r="113" spans="1:15">
      <c r="A113" s="331" t="s">
        <v>45</v>
      </c>
      <c r="B113" s="332" t="s">
        <v>65</v>
      </c>
      <c r="C113" s="332" t="s">
        <v>66</v>
      </c>
      <c r="D113" s="332" t="s">
        <v>67</v>
      </c>
      <c r="E113" s="332" t="s">
        <v>68</v>
      </c>
      <c r="F113" s="332" t="s">
        <v>69</v>
      </c>
      <c r="G113" s="332" t="s">
        <v>70</v>
      </c>
      <c r="H113" s="332" t="s">
        <v>104</v>
      </c>
      <c r="I113" s="332" t="s">
        <v>72</v>
      </c>
      <c r="J113" s="332" t="s">
        <v>73</v>
      </c>
      <c r="K113" s="332" t="s">
        <v>74</v>
      </c>
      <c r="L113" s="332" t="s">
        <v>75</v>
      </c>
      <c r="M113" s="332" t="s">
        <v>76</v>
      </c>
      <c r="N113" s="305" t="s">
        <v>138</v>
      </c>
      <c r="O113" s="244"/>
    </row>
    <row r="114" spans="1:15">
      <c r="A114" s="323" t="s">
        <v>139</v>
      </c>
      <c r="B114" s="307">
        <v>25000</v>
      </c>
      <c r="C114" s="307">
        <v>25000</v>
      </c>
      <c r="D114" s="307">
        <v>28750</v>
      </c>
      <c r="E114" s="307">
        <v>28750</v>
      </c>
      <c r="F114" s="307">
        <v>28750</v>
      </c>
      <c r="G114" s="307">
        <v>28750</v>
      </c>
      <c r="H114" s="307">
        <v>28750</v>
      </c>
      <c r="I114" s="307">
        <v>28750</v>
      </c>
      <c r="J114" s="307">
        <v>28750</v>
      </c>
      <c r="K114" s="307">
        <v>28750</v>
      </c>
      <c r="L114" s="307">
        <v>28750</v>
      </c>
      <c r="M114" s="307">
        <v>28750</v>
      </c>
      <c r="N114" s="328">
        <v>337500</v>
      </c>
      <c r="O114" s="244"/>
    </row>
    <row r="115" spans="1:15">
      <c r="A115" s="323" t="s">
        <v>140</v>
      </c>
      <c r="B115" s="307">
        <v>10000</v>
      </c>
      <c r="C115" s="307">
        <v>10000</v>
      </c>
      <c r="D115" s="307">
        <v>11500</v>
      </c>
      <c r="E115" s="307">
        <v>11500</v>
      </c>
      <c r="F115" s="307">
        <v>11500</v>
      </c>
      <c r="G115" s="307">
        <v>11500</v>
      </c>
      <c r="H115" s="307">
        <v>11500</v>
      </c>
      <c r="I115" s="307">
        <v>11500</v>
      </c>
      <c r="J115" s="307">
        <v>11500</v>
      </c>
      <c r="K115" s="307">
        <v>11500</v>
      </c>
      <c r="L115" s="307">
        <v>11500</v>
      </c>
      <c r="M115" s="307">
        <v>11500</v>
      </c>
      <c r="N115" s="328">
        <v>135000</v>
      </c>
      <c r="O115" s="244"/>
    </row>
    <row r="116" spans="1:15">
      <c r="A116" s="323" t="s">
        <v>141</v>
      </c>
      <c r="B116" s="307">
        <v>15000</v>
      </c>
      <c r="C116" s="307">
        <v>15000</v>
      </c>
      <c r="D116" s="307">
        <v>17250</v>
      </c>
      <c r="E116" s="307">
        <v>17250</v>
      </c>
      <c r="F116" s="307">
        <v>17250</v>
      </c>
      <c r="G116" s="307">
        <v>17250</v>
      </c>
      <c r="H116" s="307">
        <v>17250</v>
      </c>
      <c r="I116" s="307">
        <v>17250</v>
      </c>
      <c r="J116" s="307">
        <v>17250</v>
      </c>
      <c r="K116" s="307">
        <v>17250</v>
      </c>
      <c r="L116" s="307">
        <v>17250</v>
      </c>
      <c r="M116" s="307">
        <v>17250</v>
      </c>
      <c r="N116" s="328">
        <v>202500</v>
      </c>
      <c r="O116" s="244"/>
    </row>
    <row r="117" spans="1:15">
      <c r="A117" s="324" t="s">
        <v>142</v>
      </c>
      <c r="B117" s="307">
        <v>0</v>
      </c>
      <c r="C117" s="307">
        <v>0</v>
      </c>
      <c r="D117" s="307">
        <v>5000</v>
      </c>
      <c r="E117" s="307">
        <v>5000</v>
      </c>
      <c r="F117" s="307">
        <v>5000</v>
      </c>
      <c r="G117" s="307">
        <v>5000</v>
      </c>
      <c r="H117" s="307">
        <v>5000</v>
      </c>
      <c r="I117" s="307">
        <v>5000</v>
      </c>
      <c r="J117" s="307">
        <v>5000</v>
      </c>
      <c r="K117" s="307">
        <v>5000</v>
      </c>
      <c r="L117" s="307">
        <v>5000</v>
      </c>
      <c r="M117" s="307">
        <v>5000</v>
      </c>
      <c r="N117" s="328">
        <v>50000</v>
      </c>
      <c r="O117" s="244"/>
    </row>
    <row r="118" spans="1:15">
      <c r="A118" s="323" t="s">
        <v>143</v>
      </c>
      <c r="B118" s="307">
        <v>50000</v>
      </c>
      <c r="C118" s="307">
        <v>50000</v>
      </c>
      <c r="D118" s="307">
        <v>57500</v>
      </c>
      <c r="E118" s="307">
        <v>57500</v>
      </c>
      <c r="F118" s="307">
        <v>57500</v>
      </c>
      <c r="G118" s="307">
        <v>57500</v>
      </c>
      <c r="H118" s="307">
        <v>57500</v>
      </c>
      <c r="I118" s="307">
        <v>57500</v>
      </c>
      <c r="J118" s="307">
        <v>57500</v>
      </c>
      <c r="K118" s="307">
        <v>57500</v>
      </c>
      <c r="L118" s="307">
        <v>57500</v>
      </c>
      <c r="M118" s="307">
        <v>57500</v>
      </c>
      <c r="N118" s="328">
        <v>675000</v>
      </c>
      <c r="O118" s="244"/>
    </row>
    <row r="119" spans="1:15">
      <c r="A119" s="323" t="s">
        <v>144</v>
      </c>
      <c r="B119" s="307">
        <v>1800</v>
      </c>
      <c r="C119" s="307">
        <v>1800</v>
      </c>
      <c r="D119" s="307">
        <v>1800</v>
      </c>
      <c r="E119" s="307">
        <v>1800</v>
      </c>
      <c r="F119" s="307">
        <v>1800</v>
      </c>
      <c r="G119" s="307">
        <v>1800</v>
      </c>
      <c r="H119" s="307">
        <v>1800</v>
      </c>
      <c r="I119" s="307">
        <v>1800</v>
      </c>
      <c r="J119" s="307">
        <v>1800</v>
      </c>
      <c r="K119" s="307">
        <v>1800</v>
      </c>
      <c r="L119" s="307">
        <v>1800</v>
      </c>
      <c r="M119" s="307">
        <v>1800</v>
      </c>
      <c r="N119" s="328">
        <v>21600</v>
      </c>
      <c r="O119" s="244"/>
    </row>
    <row r="120" spans="1:15">
      <c r="A120" s="323" t="s">
        <v>145</v>
      </c>
      <c r="B120" s="307">
        <v>1950</v>
      </c>
      <c r="C120" s="307">
        <v>1950</v>
      </c>
      <c r="D120" s="307">
        <v>1950</v>
      </c>
      <c r="E120" s="307">
        <v>1950</v>
      </c>
      <c r="F120" s="307">
        <v>1950</v>
      </c>
      <c r="G120" s="307">
        <v>1950</v>
      </c>
      <c r="H120" s="307">
        <v>1950</v>
      </c>
      <c r="I120" s="307">
        <v>1950</v>
      </c>
      <c r="J120" s="307">
        <v>1950</v>
      </c>
      <c r="K120" s="307">
        <v>1950</v>
      </c>
      <c r="L120" s="307">
        <v>1950</v>
      </c>
      <c r="M120" s="307">
        <v>1950</v>
      </c>
      <c r="N120" s="328">
        <v>23400</v>
      </c>
      <c r="O120" s="244"/>
    </row>
    <row r="121" spans="1:15">
      <c r="A121" s="323" t="s">
        <v>81</v>
      </c>
      <c r="B121" s="307">
        <v>200</v>
      </c>
      <c r="C121" s="307">
        <v>200</v>
      </c>
      <c r="D121" s="307">
        <v>200</v>
      </c>
      <c r="E121" s="307">
        <v>200</v>
      </c>
      <c r="F121" s="307">
        <v>200</v>
      </c>
      <c r="G121" s="307">
        <v>200</v>
      </c>
      <c r="H121" s="307">
        <v>200</v>
      </c>
      <c r="I121" s="307">
        <v>200</v>
      </c>
      <c r="J121" s="307">
        <v>200</v>
      </c>
      <c r="K121" s="307">
        <v>200</v>
      </c>
      <c r="L121" s="307">
        <v>300</v>
      </c>
      <c r="M121" s="307">
        <v>200</v>
      </c>
      <c r="N121" s="328">
        <v>2500</v>
      </c>
      <c r="O121" s="244"/>
    </row>
    <row r="122" spans="1:15">
      <c r="A122" s="323" t="s">
        <v>153</v>
      </c>
      <c r="B122" s="271"/>
      <c r="C122" s="271"/>
      <c r="D122" s="307">
        <v>50000</v>
      </c>
      <c r="E122" s="271"/>
      <c r="F122" s="271"/>
      <c r="G122" s="271"/>
      <c r="H122" s="271"/>
      <c r="I122" s="271"/>
      <c r="J122" s="271"/>
      <c r="K122" s="271"/>
      <c r="L122" s="271"/>
      <c r="M122" s="271"/>
      <c r="N122" s="328">
        <v>50000</v>
      </c>
      <c r="O122" s="244"/>
    </row>
    <row r="123" spans="1:15">
      <c r="A123" s="323" t="s">
        <v>146</v>
      </c>
      <c r="B123" s="271"/>
      <c r="C123" s="271"/>
      <c r="D123" s="307">
        <v>25</v>
      </c>
      <c r="E123" s="271"/>
      <c r="F123" s="271"/>
      <c r="G123" s="271"/>
      <c r="H123" s="271"/>
      <c r="I123" s="271"/>
      <c r="J123" s="307">
        <v>25</v>
      </c>
      <c r="K123" s="271"/>
      <c r="L123" s="271"/>
      <c r="M123" s="271"/>
      <c r="N123" s="328">
        <v>50</v>
      </c>
      <c r="O123" s="244"/>
    </row>
    <row r="124" spans="1:15">
      <c r="A124" s="323" t="s">
        <v>147</v>
      </c>
      <c r="B124" s="307">
        <v>3950</v>
      </c>
      <c r="C124" s="307">
        <v>3950</v>
      </c>
      <c r="D124" s="307">
        <v>3975</v>
      </c>
      <c r="E124" s="307">
        <v>3950</v>
      </c>
      <c r="F124" s="307">
        <v>3950</v>
      </c>
      <c r="G124" s="307">
        <v>3950</v>
      </c>
      <c r="H124" s="307">
        <v>3950</v>
      </c>
      <c r="I124" s="307">
        <v>3950</v>
      </c>
      <c r="J124" s="307">
        <v>3975</v>
      </c>
      <c r="K124" s="307">
        <v>3950</v>
      </c>
      <c r="L124" s="307">
        <v>4050</v>
      </c>
      <c r="M124" s="307">
        <v>3950</v>
      </c>
      <c r="N124" s="328">
        <v>47550</v>
      </c>
      <c r="O124" s="244"/>
    </row>
    <row r="125" spans="1:15">
      <c r="A125" s="325" t="s">
        <v>148</v>
      </c>
      <c r="B125" s="314">
        <v>46050</v>
      </c>
      <c r="C125" s="314">
        <v>46050</v>
      </c>
      <c r="D125" s="314">
        <v>108525</v>
      </c>
      <c r="E125" s="314">
        <v>58550</v>
      </c>
      <c r="F125" s="314">
        <v>58550</v>
      </c>
      <c r="G125" s="314">
        <v>58550</v>
      </c>
      <c r="H125" s="314">
        <v>58550</v>
      </c>
      <c r="I125" s="314">
        <v>58550</v>
      </c>
      <c r="J125" s="314">
        <v>58525</v>
      </c>
      <c r="K125" s="314">
        <v>58550</v>
      </c>
      <c r="L125" s="314">
        <v>58450</v>
      </c>
      <c r="M125" s="314">
        <v>58550</v>
      </c>
      <c r="N125" s="328">
        <v>727450</v>
      </c>
      <c r="O125" s="244"/>
    </row>
    <row r="126" spans="1:15">
      <c r="A126" s="323" t="s">
        <v>149</v>
      </c>
      <c r="B126" s="307">
        <v>50000</v>
      </c>
      <c r="C126" s="307">
        <v>50000</v>
      </c>
      <c r="D126" s="307">
        <v>62500</v>
      </c>
      <c r="E126" s="307">
        <v>62500</v>
      </c>
      <c r="F126" s="307">
        <v>62500</v>
      </c>
      <c r="G126" s="307">
        <v>62500</v>
      </c>
      <c r="H126" s="307">
        <v>62500</v>
      </c>
      <c r="I126" s="307">
        <v>62500</v>
      </c>
      <c r="J126" s="307">
        <v>62500</v>
      </c>
      <c r="K126" s="307">
        <v>62500</v>
      </c>
      <c r="L126" s="307">
        <v>62500</v>
      </c>
      <c r="M126" s="307">
        <v>62500</v>
      </c>
      <c r="N126" s="328">
        <v>725000</v>
      </c>
      <c r="O126" s="244"/>
    </row>
    <row r="127" spans="1:15">
      <c r="A127" s="318"/>
      <c r="B127" s="244"/>
      <c r="C127" s="244"/>
      <c r="D127" s="244"/>
      <c r="E127" s="244"/>
      <c r="F127" s="244"/>
      <c r="G127" s="244"/>
      <c r="H127" s="244"/>
      <c r="I127" s="244"/>
      <c r="J127" s="244"/>
      <c r="K127" s="244"/>
      <c r="L127" s="244"/>
      <c r="M127" s="244"/>
      <c r="N127" s="244"/>
      <c r="O127" s="244"/>
    </row>
    <row r="128" spans="1:15">
      <c r="A128" s="318"/>
      <c r="B128" s="244"/>
      <c r="C128" s="244"/>
      <c r="D128" s="244"/>
      <c r="E128" s="244"/>
      <c r="F128" s="244"/>
      <c r="G128" s="244"/>
      <c r="H128" s="244"/>
      <c r="I128" s="244"/>
      <c r="J128" s="244"/>
      <c r="K128" s="244"/>
      <c r="L128" s="244"/>
      <c r="M128" s="244"/>
      <c r="N128" s="244"/>
      <c r="O128" s="244"/>
    </row>
    <row r="129" spans="1:15">
      <c r="A129" s="333" t="s">
        <v>154</v>
      </c>
      <c r="B129" s="271" t="s">
        <v>65</v>
      </c>
      <c r="C129" s="271" t="s">
        <v>66</v>
      </c>
      <c r="D129" s="271" t="s">
        <v>67</v>
      </c>
      <c r="E129" s="271" t="s">
        <v>68</v>
      </c>
      <c r="F129" s="271" t="s">
        <v>69</v>
      </c>
      <c r="G129" s="271" t="s">
        <v>70</v>
      </c>
      <c r="H129" s="271" t="s">
        <v>104</v>
      </c>
      <c r="I129" s="271" t="s">
        <v>72</v>
      </c>
      <c r="J129" s="271" t="s">
        <v>73</v>
      </c>
      <c r="K129" s="271" t="s">
        <v>74</v>
      </c>
      <c r="L129" s="271" t="s">
        <v>75</v>
      </c>
      <c r="M129" s="271" t="s">
        <v>76</v>
      </c>
      <c r="N129" s="305" t="s">
        <v>138</v>
      </c>
      <c r="O129" s="244"/>
    </row>
    <row r="130" spans="1:15">
      <c r="A130" s="323" t="s">
        <v>139</v>
      </c>
      <c r="B130" s="307">
        <v>29166.67</v>
      </c>
      <c r="C130" s="307">
        <v>29166.67</v>
      </c>
      <c r="D130" s="307">
        <v>31250</v>
      </c>
      <c r="E130" s="307">
        <v>31250</v>
      </c>
      <c r="F130" s="307">
        <v>31250</v>
      </c>
      <c r="G130" s="307">
        <v>31250</v>
      </c>
      <c r="H130" s="307">
        <v>31250</v>
      </c>
      <c r="I130" s="307">
        <v>31250</v>
      </c>
      <c r="J130" s="307">
        <v>31250</v>
      </c>
      <c r="K130" s="307">
        <v>31250</v>
      </c>
      <c r="L130" s="307">
        <v>35000</v>
      </c>
      <c r="M130" s="307">
        <v>35000</v>
      </c>
      <c r="N130" s="328">
        <v>378333.33</v>
      </c>
      <c r="O130" s="244"/>
    </row>
    <row r="131" spans="1:15">
      <c r="A131" s="323" t="s">
        <v>140</v>
      </c>
      <c r="B131" s="307">
        <v>11666.67</v>
      </c>
      <c r="C131" s="307">
        <v>11666.67</v>
      </c>
      <c r="D131" s="307">
        <v>12500</v>
      </c>
      <c r="E131" s="307">
        <v>12500</v>
      </c>
      <c r="F131" s="307">
        <v>12500</v>
      </c>
      <c r="G131" s="307">
        <v>12500</v>
      </c>
      <c r="H131" s="307">
        <v>12500</v>
      </c>
      <c r="I131" s="307">
        <v>12500</v>
      </c>
      <c r="J131" s="307">
        <v>12500</v>
      </c>
      <c r="K131" s="307">
        <v>12500</v>
      </c>
      <c r="L131" s="307">
        <v>14000</v>
      </c>
      <c r="M131" s="307">
        <v>14000</v>
      </c>
      <c r="N131" s="328">
        <v>151333.32999999999</v>
      </c>
      <c r="O131" s="244"/>
    </row>
    <row r="132" spans="1:15">
      <c r="A132" s="323" t="s">
        <v>141</v>
      </c>
      <c r="B132" s="307">
        <v>17500</v>
      </c>
      <c r="C132" s="307">
        <v>17500</v>
      </c>
      <c r="D132" s="307">
        <v>18750</v>
      </c>
      <c r="E132" s="307">
        <v>18750</v>
      </c>
      <c r="F132" s="307">
        <v>18750</v>
      </c>
      <c r="G132" s="307">
        <v>18750</v>
      </c>
      <c r="H132" s="307">
        <v>18750</v>
      </c>
      <c r="I132" s="307">
        <v>18750</v>
      </c>
      <c r="J132" s="307">
        <v>18750</v>
      </c>
      <c r="K132" s="307">
        <v>18750</v>
      </c>
      <c r="L132" s="307">
        <v>21000</v>
      </c>
      <c r="M132" s="307">
        <v>21000</v>
      </c>
      <c r="N132" s="328">
        <v>227000</v>
      </c>
      <c r="O132" s="244"/>
    </row>
    <row r="133" spans="1:15">
      <c r="A133" s="324" t="s">
        <v>142</v>
      </c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307">
        <v>5000</v>
      </c>
      <c r="M133" s="307">
        <v>5000</v>
      </c>
      <c r="N133" s="328">
        <v>10000</v>
      </c>
      <c r="O133" s="244"/>
    </row>
    <row r="134" spans="1:15">
      <c r="A134" s="323" t="s">
        <v>143</v>
      </c>
      <c r="B134" s="307">
        <v>58333.33</v>
      </c>
      <c r="C134" s="307">
        <v>58333.33</v>
      </c>
      <c r="D134" s="334">
        <v>62500</v>
      </c>
      <c r="E134" s="334">
        <v>62500</v>
      </c>
      <c r="F134" s="334">
        <v>62500</v>
      </c>
      <c r="G134" s="334">
        <v>62500</v>
      </c>
      <c r="H134" s="334">
        <v>62500</v>
      </c>
      <c r="I134" s="334">
        <v>62500</v>
      </c>
      <c r="J134" s="334">
        <v>62500</v>
      </c>
      <c r="K134" s="334">
        <v>62500</v>
      </c>
      <c r="L134" s="307">
        <v>70000</v>
      </c>
      <c r="M134" s="307">
        <v>70000</v>
      </c>
      <c r="N134" s="328">
        <v>756666.66</v>
      </c>
      <c r="O134" s="244"/>
    </row>
    <row r="135" spans="1:15">
      <c r="A135" s="323" t="s">
        <v>144</v>
      </c>
      <c r="B135" s="307">
        <v>1800</v>
      </c>
      <c r="C135" s="307">
        <v>1800</v>
      </c>
      <c r="D135" s="307">
        <v>1800</v>
      </c>
      <c r="E135" s="307">
        <v>1800</v>
      </c>
      <c r="F135" s="307">
        <v>1800</v>
      </c>
      <c r="G135" s="307">
        <v>1800</v>
      </c>
      <c r="H135" s="307">
        <v>1800</v>
      </c>
      <c r="I135" s="307">
        <v>1800</v>
      </c>
      <c r="J135" s="307">
        <v>1800</v>
      </c>
      <c r="K135" s="307">
        <v>1800</v>
      </c>
      <c r="L135" s="307">
        <v>1800</v>
      </c>
      <c r="M135" s="307">
        <v>1800</v>
      </c>
      <c r="N135" s="328">
        <v>21600</v>
      </c>
      <c r="O135" s="244"/>
    </row>
    <row r="136" spans="1:15">
      <c r="A136" s="323" t="s">
        <v>145</v>
      </c>
      <c r="B136" s="307">
        <v>1950</v>
      </c>
      <c r="C136" s="307">
        <v>1950</v>
      </c>
      <c r="D136" s="307">
        <v>1950</v>
      </c>
      <c r="E136" s="307">
        <v>1950</v>
      </c>
      <c r="F136" s="307">
        <v>1950</v>
      </c>
      <c r="G136" s="307">
        <v>1950</v>
      </c>
      <c r="H136" s="307">
        <v>1950</v>
      </c>
      <c r="I136" s="307">
        <v>1950</v>
      </c>
      <c r="J136" s="307">
        <v>1950</v>
      </c>
      <c r="K136" s="307">
        <v>1950</v>
      </c>
      <c r="L136" s="307">
        <v>1950</v>
      </c>
      <c r="M136" s="307">
        <v>1950</v>
      </c>
      <c r="N136" s="328">
        <v>23400</v>
      </c>
      <c r="O136" s="244"/>
    </row>
    <row r="137" spans="1:15">
      <c r="A137" s="323" t="s">
        <v>81</v>
      </c>
      <c r="B137" s="307">
        <v>200</v>
      </c>
      <c r="C137" s="307">
        <v>200</v>
      </c>
      <c r="D137" s="307">
        <v>200</v>
      </c>
      <c r="E137" s="307">
        <v>200</v>
      </c>
      <c r="F137" s="307">
        <v>200</v>
      </c>
      <c r="G137" s="307">
        <v>200</v>
      </c>
      <c r="H137" s="307">
        <v>200</v>
      </c>
      <c r="I137" s="307">
        <v>200</v>
      </c>
      <c r="J137" s="307">
        <v>200</v>
      </c>
      <c r="K137" s="307">
        <v>200</v>
      </c>
      <c r="L137" s="307">
        <v>300</v>
      </c>
      <c r="M137" s="307">
        <v>200</v>
      </c>
      <c r="N137" s="328">
        <v>2500</v>
      </c>
      <c r="O137" s="244"/>
    </row>
    <row r="138" spans="1:15">
      <c r="A138" s="323" t="s">
        <v>153</v>
      </c>
      <c r="B138" s="271"/>
      <c r="C138" s="271"/>
      <c r="D138" s="307">
        <v>20833</v>
      </c>
      <c r="E138" s="307">
        <v>50000</v>
      </c>
      <c r="F138" s="271"/>
      <c r="G138" s="271"/>
      <c r="H138" s="271"/>
      <c r="I138" s="271"/>
      <c r="J138" s="271"/>
      <c r="K138" s="271"/>
      <c r="L138" s="271"/>
      <c r="M138" s="271"/>
      <c r="N138" s="328">
        <v>70833</v>
      </c>
      <c r="O138" s="244"/>
    </row>
    <row r="139" spans="1:15">
      <c r="A139" s="323" t="s">
        <v>146</v>
      </c>
      <c r="B139" s="271"/>
      <c r="C139" s="271"/>
      <c r="D139" s="307">
        <v>25</v>
      </c>
      <c r="E139" s="271"/>
      <c r="F139" s="271"/>
      <c r="G139" s="271"/>
      <c r="H139" s="271"/>
      <c r="I139" s="271"/>
      <c r="J139" s="307">
        <v>25</v>
      </c>
      <c r="K139" s="271"/>
      <c r="L139" s="244"/>
      <c r="M139" s="244"/>
      <c r="N139" s="328">
        <v>50</v>
      </c>
      <c r="O139" s="244"/>
    </row>
    <row r="140" spans="1:15">
      <c r="A140" s="323" t="s">
        <v>147</v>
      </c>
      <c r="B140" s="307">
        <v>3950</v>
      </c>
      <c r="C140" s="307">
        <v>3950</v>
      </c>
      <c r="D140" s="307">
        <v>3975</v>
      </c>
      <c r="E140" s="307">
        <v>3950</v>
      </c>
      <c r="F140" s="307">
        <v>3950</v>
      </c>
      <c r="G140" s="307">
        <v>3950</v>
      </c>
      <c r="H140" s="307">
        <v>3950</v>
      </c>
      <c r="I140" s="307">
        <v>3950</v>
      </c>
      <c r="J140" s="307">
        <v>3975</v>
      </c>
      <c r="K140" s="307">
        <v>3950</v>
      </c>
      <c r="L140" s="307">
        <v>4050</v>
      </c>
      <c r="M140" s="307">
        <v>3950</v>
      </c>
      <c r="N140" s="328">
        <v>47550</v>
      </c>
      <c r="O140" s="244"/>
    </row>
    <row r="141" spans="1:15">
      <c r="A141" s="325" t="s">
        <v>148</v>
      </c>
      <c r="B141" s="314">
        <v>54383.33</v>
      </c>
      <c r="C141" s="314">
        <v>54383.33</v>
      </c>
      <c r="D141" s="314">
        <v>79358</v>
      </c>
      <c r="E141" s="314">
        <v>108550</v>
      </c>
      <c r="F141" s="314">
        <v>58550</v>
      </c>
      <c r="G141" s="314">
        <v>58550</v>
      </c>
      <c r="H141" s="314">
        <v>58550</v>
      </c>
      <c r="I141" s="314">
        <v>58550</v>
      </c>
      <c r="J141" s="314">
        <v>58525</v>
      </c>
      <c r="K141" s="314">
        <v>58550</v>
      </c>
      <c r="L141" s="335">
        <v>70950</v>
      </c>
      <c r="M141" s="335">
        <v>71050</v>
      </c>
      <c r="N141" s="328">
        <v>789949.66</v>
      </c>
      <c r="O141" s="244"/>
    </row>
    <row r="142" spans="1:15">
      <c r="A142" s="323" t="s">
        <v>149</v>
      </c>
      <c r="B142" s="307">
        <v>58333.33</v>
      </c>
      <c r="C142" s="307">
        <v>58333.33</v>
      </c>
      <c r="D142" s="334">
        <v>62500</v>
      </c>
      <c r="E142" s="307">
        <v>62500</v>
      </c>
      <c r="F142" s="307">
        <v>62500</v>
      </c>
      <c r="G142" s="307">
        <v>62500</v>
      </c>
      <c r="H142" s="307">
        <v>62500</v>
      </c>
      <c r="I142" s="307">
        <v>62500</v>
      </c>
      <c r="J142" s="307">
        <v>62500</v>
      </c>
      <c r="K142" s="307">
        <v>62500</v>
      </c>
      <c r="L142" s="307">
        <v>75000</v>
      </c>
      <c r="M142" s="307">
        <v>75000</v>
      </c>
      <c r="N142" s="328">
        <v>766666.66</v>
      </c>
      <c r="O142" s="244"/>
    </row>
    <row r="143" spans="1:15">
      <c r="A143" s="318"/>
      <c r="B143" s="244"/>
      <c r="C143" s="244"/>
      <c r="D143" s="244"/>
      <c r="E143" s="244"/>
      <c r="F143" s="244"/>
      <c r="G143" s="244"/>
      <c r="H143" s="244"/>
      <c r="I143" s="244"/>
      <c r="J143" s="244"/>
      <c r="K143" s="244"/>
      <c r="L143" s="244"/>
      <c r="M143" s="244"/>
      <c r="N143" s="244"/>
      <c r="O143" s="244"/>
    </row>
    <row r="144" spans="1:15">
      <c r="A144" s="318"/>
      <c r="B144" s="244"/>
      <c r="C144" s="244"/>
      <c r="D144" s="244"/>
      <c r="E144" s="244"/>
      <c r="F144" s="244"/>
      <c r="G144" s="244"/>
      <c r="H144" s="244"/>
      <c r="I144" s="244"/>
      <c r="J144" s="244"/>
      <c r="K144" s="244"/>
      <c r="L144" s="244"/>
      <c r="M144" s="244"/>
      <c r="N144" s="244"/>
      <c r="O144" s="244"/>
    </row>
    <row r="145" spans="1:15">
      <c r="A145" s="336" t="s">
        <v>155</v>
      </c>
      <c r="B145" s="271" t="s">
        <v>65</v>
      </c>
      <c r="C145" s="271" t="s">
        <v>66</v>
      </c>
      <c r="D145" s="271" t="s">
        <v>67</v>
      </c>
      <c r="E145" s="271" t="s">
        <v>68</v>
      </c>
      <c r="F145" s="271" t="s">
        <v>69</v>
      </c>
      <c r="G145" s="271" t="s">
        <v>70</v>
      </c>
      <c r="H145" s="271" t="s">
        <v>104</v>
      </c>
      <c r="I145" s="271" t="s">
        <v>72</v>
      </c>
      <c r="J145" s="271" t="s">
        <v>73</v>
      </c>
      <c r="K145" s="271" t="s">
        <v>74</v>
      </c>
      <c r="L145" s="271" t="s">
        <v>75</v>
      </c>
      <c r="M145" s="271" t="s">
        <v>76</v>
      </c>
      <c r="N145" s="305" t="s">
        <v>138</v>
      </c>
      <c r="O145" s="244"/>
    </row>
    <row r="146" spans="1:15">
      <c r="A146" s="323" t="s">
        <v>139</v>
      </c>
      <c r="B146" s="307">
        <v>29166.67</v>
      </c>
      <c r="C146" s="307">
        <v>29166.67</v>
      </c>
      <c r="D146" s="307">
        <v>31250</v>
      </c>
      <c r="E146" s="307">
        <v>31250</v>
      </c>
      <c r="F146" s="307">
        <v>31250</v>
      </c>
      <c r="G146" s="307">
        <v>31250</v>
      </c>
      <c r="H146" s="307">
        <v>31250</v>
      </c>
      <c r="I146" s="307">
        <v>31250</v>
      </c>
      <c r="J146" s="307">
        <v>31250</v>
      </c>
      <c r="K146" s="307">
        <v>31250</v>
      </c>
      <c r="L146" s="307">
        <v>35000</v>
      </c>
      <c r="M146" s="307">
        <v>35000</v>
      </c>
      <c r="N146" s="328">
        <v>378333.33</v>
      </c>
      <c r="O146" s="244"/>
    </row>
    <row r="147" spans="1:15">
      <c r="A147" s="323" t="s">
        <v>140</v>
      </c>
      <c r="B147" s="307">
        <v>11666.67</v>
      </c>
      <c r="C147" s="307">
        <v>11666.67</v>
      </c>
      <c r="D147" s="307">
        <v>12500</v>
      </c>
      <c r="E147" s="307">
        <v>12500</v>
      </c>
      <c r="F147" s="307">
        <v>12500</v>
      </c>
      <c r="G147" s="307">
        <v>12500</v>
      </c>
      <c r="H147" s="307">
        <v>12500</v>
      </c>
      <c r="I147" s="307">
        <v>12500</v>
      </c>
      <c r="J147" s="307">
        <v>12500</v>
      </c>
      <c r="K147" s="307">
        <v>12500</v>
      </c>
      <c r="L147" s="307">
        <v>14000</v>
      </c>
      <c r="M147" s="307">
        <v>14000</v>
      </c>
      <c r="N147" s="328">
        <v>151333.32999999999</v>
      </c>
      <c r="O147" s="244"/>
    </row>
    <row r="148" spans="1:15">
      <c r="A148" s="323" t="s">
        <v>141</v>
      </c>
      <c r="B148" s="307">
        <v>17500</v>
      </c>
      <c r="C148" s="307">
        <v>17500</v>
      </c>
      <c r="D148" s="307">
        <v>18750</v>
      </c>
      <c r="E148" s="307">
        <v>18750</v>
      </c>
      <c r="F148" s="307">
        <v>18750</v>
      </c>
      <c r="G148" s="307">
        <v>18750</v>
      </c>
      <c r="H148" s="307">
        <v>18750</v>
      </c>
      <c r="I148" s="307">
        <v>18750</v>
      </c>
      <c r="J148" s="307">
        <v>18750</v>
      </c>
      <c r="K148" s="307">
        <v>18750</v>
      </c>
      <c r="L148" s="307">
        <v>21000</v>
      </c>
      <c r="M148" s="307">
        <v>21000</v>
      </c>
      <c r="N148" s="328">
        <v>227000</v>
      </c>
      <c r="O148" s="244"/>
    </row>
    <row r="149" spans="1:15">
      <c r="A149" s="324" t="s">
        <v>142</v>
      </c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307">
        <v>5000</v>
      </c>
      <c r="M149" s="307">
        <v>5000</v>
      </c>
      <c r="N149" s="328">
        <v>10000</v>
      </c>
      <c r="O149" s="244"/>
    </row>
    <row r="150" spans="1:15">
      <c r="A150" s="323" t="s">
        <v>143</v>
      </c>
      <c r="B150" s="307">
        <v>58333.33</v>
      </c>
      <c r="C150" s="307">
        <v>58333.33</v>
      </c>
      <c r="D150" s="334">
        <v>62500</v>
      </c>
      <c r="E150" s="334">
        <v>62500</v>
      </c>
      <c r="F150" s="334">
        <v>62500</v>
      </c>
      <c r="G150" s="334">
        <v>62500</v>
      </c>
      <c r="H150" s="334">
        <v>62500</v>
      </c>
      <c r="I150" s="334">
        <v>62500</v>
      </c>
      <c r="J150" s="334">
        <v>62500</v>
      </c>
      <c r="K150" s="334">
        <v>62500</v>
      </c>
      <c r="L150" s="307">
        <v>70000</v>
      </c>
      <c r="M150" s="307">
        <v>70000</v>
      </c>
      <c r="N150" s="328">
        <v>756666.66</v>
      </c>
      <c r="O150" s="244"/>
    </row>
    <row r="151" spans="1:15">
      <c r="A151" s="323" t="s">
        <v>144</v>
      </c>
      <c r="B151" s="307">
        <v>1800</v>
      </c>
      <c r="C151" s="307">
        <v>1800</v>
      </c>
      <c r="D151" s="307">
        <v>1800</v>
      </c>
      <c r="E151" s="307">
        <v>1800</v>
      </c>
      <c r="F151" s="307">
        <v>1800</v>
      </c>
      <c r="G151" s="307">
        <v>1800</v>
      </c>
      <c r="H151" s="307">
        <v>1800</v>
      </c>
      <c r="I151" s="307">
        <v>1800</v>
      </c>
      <c r="J151" s="307">
        <v>1800</v>
      </c>
      <c r="K151" s="307">
        <v>1800</v>
      </c>
      <c r="L151" s="307">
        <v>1800</v>
      </c>
      <c r="M151" s="307">
        <v>1800</v>
      </c>
      <c r="N151" s="328">
        <v>21600</v>
      </c>
      <c r="O151" s="244"/>
    </row>
    <row r="152" spans="1:15">
      <c r="A152" s="323" t="s">
        <v>145</v>
      </c>
      <c r="B152" s="307">
        <v>1950</v>
      </c>
      <c r="C152" s="307">
        <v>1950</v>
      </c>
      <c r="D152" s="307">
        <v>1950</v>
      </c>
      <c r="E152" s="307">
        <v>1950</v>
      </c>
      <c r="F152" s="307">
        <v>1950</v>
      </c>
      <c r="G152" s="307">
        <v>1950</v>
      </c>
      <c r="H152" s="307">
        <v>1950</v>
      </c>
      <c r="I152" s="307">
        <v>1950</v>
      </c>
      <c r="J152" s="307">
        <v>1950</v>
      </c>
      <c r="K152" s="307">
        <v>1950</v>
      </c>
      <c r="L152" s="307">
        <v>1950</v>
      </c>
      <c r="M152" s="307">
        <v>1950</v>
      </c>
      <c r="N152" s="328">
        <v>23400</v>
      </c>
      <c r="O152" s="244"/>
    </row>
    <row r="153" spans="1:15">
      <c r="A153" s="323" t="s">
        <v>81</v>
      </c>
      <c r="B153" s="307">
        <v>200</v>
      </c>
      <c r="C153" s="307">
        <v>200</v>
      </c>
      <c r="D153" s="307">
        <v>200</v>
      </c>
      <c r="E153" s="307">
        <v>200</v>
      </c>
      <c r="F153" s="307">
        <v>200</v>
      </c>
      <c r="G153" s="307">
        <v>200</v>
      </c>
      <c r="H153" s="307">
        <v>200</v>
      </c>
      <c r="I153" s="307">
        <v>200</v>
      </c>
      <c r="J153" s="307">
        <v>200</v>
      </c>
      <c r="K153" s="307">
        <v>200</v>
      </c>
      <c r="L153" s="307">
        <v>300</v>
      </c>
      <c r="M153" s="307">
        <v>200</v>
      </c>
      <c r="N153" s="328">
        <v>2500</v>
      </c>
      <c r="O153" s="244"/>
    </row>
    <row r="154" spans="1:15">
      <c r="A154" s="323" t="s">
        <v>153</v>
      </c>
      <c r="B154" s="271"/>
      <c r="C154" s="271"/>
      <c r="D154" s="307">
        <v>20833</v>
      </c>
      <c r="E154" s="307">
        <v>50000</v>
      </c>
      <c r="F154" s="271"/>
      <c r="G154" s="271"/>
      <c r="H154" s="271"/>
      <c r="I154" s="271"/>
      <c r="J154" s="271"/>
      <c r="K154" s="271"/>
      <c r="L154" s="271"/>
      <c r="M154" s="271"/>
      <c r="N154" s="328">
        <v>70833</v>
      </c>
      <c r="O154" s="244"/>
    </row>
    <row r="155" spans="1:15">
      <c r="A155" s="323" t="s">
        <v>146</v>
      </c>
      <c r="B155" s="271"/>
      <c r="C155" s="271"/>
      <c r="D155" s="307">
        <v>25</v>
      </c>
      <c r="E155" s="271"/>
      <c r="F155" s="271"/>
      <c r="G155" s="271"/>
      <c r="H155" s="271"/>
      <c r="I155" s="271"/>
      <c r="J155" s="307">
        <v>25</v>
      </c>
      <c r="K155" s="271"/>
      <c r="L155" s="244"/>
      <c r="M155" s="244"/>
      <c r="N155" s="328">
        <v>50</v>
      </c>
      <c r="O155" s="244"/>
    </row>
    <row r="156" spans="1:15">
      <c r="A156" s="323" t="s">
        <v>147</v>
      </c>
      <c r="B156" s="307">
        <v>3950</v>
      </c>
      <c r="C156" s="307">
        <v>3950</v>
      </c>
      <c r="D156" s="307">
        <v>3975</v>
      </c>
      <c r="E156" s="307">
        <v>3950</v>
      </c>
      <c r="F156" s="307">
        <v>3950</v>
      </c>
      <c r="G156" s="307">
        <v>3950</v>
      </c>
      <c r="H156" s="307">
        <v>3950</v>
      </c>
      <c r="I156" s="307">
        <v>3950</v>
      </c>
      <c r="J156" s="307">
        <v>3975</v>
      </c>
      <c r="K156" s="307">
        <v>3950</v>
      </c>
      <c r="L156" s="307">
        <v>4050</v>
      </c>
      <c r="M156" s="307">
        <v>3950</v>
      </c>
      <c r="N156" s="328">
        <v>47550</v>
      </c>
      <c r="O156" s="244"/>
    </row>
    <row r="157" spans="1:15">
      <c r="A157" s="325" t="s">
        <v>148</v>
      </c>
      <c r="B157" s="314">
        <v>54383.33</v>
      </c>
      <c r="C157" s="314">
        <v>54383.33</v>
      </c>
      <c r="D157" s="314">
        <v>79358</v>
      </c>
      <c r="E157" s="314">
        <v>108550</v>
      </c>
      <c r="F157" s="314">
        <v>58550</v>
      </c>
      <c r="G157" s="314">
        <v>58550</v>
      </c>
      <c r="H157" s="314">
        <v>58550</v>
      </c>
      <c r="I157" s="314">
        <v>58550</v>
      </c>
      <c r="J157" s="314">
        <v>58525</v>
      </c>
      <c r="K157" s="314">
        <v>58550</v>
      </c>
      <c r="L157" s="335">
        <v>70950</v>
      </c>
      <c r="M157" s="335">
        <v>71050</v>
      </c>
      <c r="N157" s="328">
        <v>789949.66</v>
      </c>
      <c r="O157" s="244"/>
    </row>
    <row r="158" spans="1:15">
      <c r="A158" s="323" t="s">
        <v>149</v>
      </c>
      <c r="B158" s="307">
        <v>58333.33</v>
      </c>
      <c r="C158" s="307">
        <v>58333.33</v>
      </c>
      <c r="D158" s="334">
        <v>62500</v>
      </c>
      <c r="E158" s="307">
        <v>62500</v>
      </c>
      <c r="F158" s="307">
        <v>62500</v>
      </c>
      <c r="G158" s="307">
        <v>62500</v>
      </c>
      <c r="H158" s="307">
        <v>62500</v>
      </c>
      <c r="I158" s="307">
        <v>62500</v>
      </c>
      <c r="J158" s="307">
        <v>62500</v>
      </c>
      <c r="K158" s="307">
        <v>62500</v>
      </c>
      <c r="L158" s="307">
        <v>75000</v>
      </c>
      <c r="M158" s="307">
        <v>75000</v>
      </c>
      <c r="N158" s="328">
        <v>766666.66</v>
      </c>
      <c r="O158" s="244"/>
    </row>
    <row r="159" spans="1:15">
      <c r="A159" s="318"/>
      <c r="B159" s="244"/>
      <c r="C159" s="244"/>
      <c r="D159" s="244"/>
      <c r="E159" s="244"/>
      <c r="F159" s="244"/>
      <c r="G159" s="244"/>
      <c r="H159" s="244"/>
      <c r="I159" s="244"/>
      <c r="J159" s="244"/>
      <c r="K159" s="244"/>
      <c r="L159" s="244"/>
      <c r="M159" s="244"/>
      <c r="N159" s="244"/>
      <c r="O159" s="244"/>
    </row>
    <row r="160" spans="1:15">
      <c r="A160" s="318"/>
      <c r="B160" s="244"/>
      <c r="C160" s="244"/>
      <c r="D160" s="244"/>
      <c r="E160" s="244"/>
      <c r="F160" s="244"/>
      <c r="G160" s="244"/>
      <c r="H160" s="244"/>
      <c r="I160" s="244"/>
      <c r="J160" s="244"/>
      <c r="K160" s="244"/>
      <c r="L160" s="244"/>
      <c r="M160" s="244"/>
      <c r="N160" s="244"/>
      <c r="O160" s="244"/>
    </row>
    <row r="161" spans="1:15">
      <c r="A161" s="337" t="s">
        <v>51</v>
      </c>
      <c r="B161" s="271" t="s">
        <v>65</v>
      </c>
      <c r="C161" s="271" t="s">
        <v>66</v>
      </c>
      <c r="D161" s="271" t="s">
        <v>67</v>
      </c>
      <c r="E161" s="271" t="s">
        <v>68</v>
      </c>
      <c r="F161" s="271" t="s">
        <v>69</v>
      </c>
      <c r="G161" s="271" t="s">
        <v>70</v>
      </c>
      <c r="H161" s="271" t="s">
        <v>104</v>
      </c>
      <c r="I161" s="271" t="s">
        <v>72</v>
      </c>
      <c r="J161" s="271" t="s">
        <v>73</v>
      </c>
      <c r="K161" s="271" t="s">
        <v>74</v>
      </c>
      <c r="L161" s="271" t="s">
        <v>75</v>
      </c>
      <c r="M161" s="271" t="s">
        <v>76</v>
      </c>
      <c r="N161" s="305" t="s">
        <v>138</v>
      </c>
      <c r="O161" s="244"/>
    </row>
    <row r="162" spans="1:15">
      <c r="A162" s="323" t="s">
        <v>139</v>
      </c>
      <c r="B162" s="307">
        <v>29166.67</v>
      </c>
      <c r="C162" s="307">
        <v>29166.67</v>
      </c>
      <c r="D162" s="307">
        <v>31250</v>
      </c>
      <c r="E162" s="307">
        <v>31250</v>
      </c>
      <c r="F162" s="307">
        <v>31250</v>
      </c>
      <c r="G162" s="307">
        <v>31250</v>
      </c>
      <c r="H162" s="307">
        <v>31250</v>
      </c>
      <c r="I162" s="307">
        <v>31250</v>
      </c>
      <c r="J162" s="307">
        <v>31250</v>
      </c>
      <c r="K162" s="307">
        <v>31250</v>
      </c>
      <c r="L162" s="307">
        <v>35000</v>
      </c>
      <c r="M162" s="307">
        <v>35000</v>
      </c>
      <c r="N162" s="338">
        <v>378333.33</v>
      </c>
      <c r="O162" s="244"/>
    </row>
    <row r="163" spans="1:15">
      <c r="A163" s="323" t="s">
        <v>140</v>
      </c>
      <c r="B163" s="307">
        <v>11666.67</v>
      </c>
      <c r="C163" s="307">
        <v>11666.67</v>
      </c>
      <c r="D163" s="307">
        <v>12500</v>
      </c>
      <c r="E163" s="307">
        <v>12500</v>
      </c>
      <c r="F163" s="307">
        <v>12500</v>
      </c>
      <c r="G163" s="307">
        <v>12500</v>
      </c>
      <c r="H163" s="307">
        <v>12500</v>
      </c>
      <c r="I163" s="307">
        <v>12500</v>
      </c>
      <c r="J163" s="307">
        <v>12500</v>
      </c>
      <c r="K163" s="307">
        <v>12500</v>
      </c>
      <c r="L163" s="307">
        <v>14000</v>
      </c>
      <c r="M163" s="307">
        <v>14000</v>
      </c>
      <c r="N163" s="338">
        <v>151333.32999999999</v>
      </c>
      <c r="O163" s="244"/>
    </row>
    <row r="164" spans="1:15">
      <c r="A164" s="323" t="s">
        <v>141</v>
      </c>
      <c r="B164" s="307">
        <v>17500</v>
      </c>
      <c r="C164" s="307">
        <v>17500</v>
      </c>
      <c r="D164" s="307">
        <v>18750</v>
      </c>
      <c r="E164" s="307">
        <v>18750</v>
      </c>
      <c r="F164" s="307">
        <v>18750</v>
      </c>
      <c r="G164" s="307">
        <v>18750</v>
      </c>
      <c r="H164" s="307">
        <v>18750</v>
      </c>
      <c r="I164" s="307">
        <v>18750</v>
      </c>
      <c r="J164" s="307">
        <v>18750</v>
      </c>
      <c r="K164" s="307">
        <v>18750</v>
      </c>
      <c r="L164" s="307">
        <v>21000</v>
      </c>
      <c r="M164" s="307">
        <v>21000</v>
      </c>
      <c r="N164" s="338">
        <v>227000</v>
      </c>
      <c r="O164" s="244"/>
    </row>
    <row r="165" spans="1:15">
      <c r="A165" s="324" t="s">
        <v>142</v>
      </c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307">
        <v>5000</v>
      </c>
      <c r="M165" s="307">
        <v>5000</v>
      </c>
      <c r="N165" s="338">
        <v>10000</v>
      </c>
      <c r="O165" s="244"/>
    </row>
    <row r="166" spans="1:15">
      <c r="A166" s="323" t="s">
        <v>143</v>
      </c>
      <c r="B166" s="307">
        <v>58333.33</v>
      </c>
      <c r="C166" s="307">
        <v>58333.33</v>
      </c>
      <c r="D166" s="334">
        <v>62500</v>
      </c>
      <c r="E166" s="334">
        <v>62500</v>
      </c>
      <c r="F166" s="334">
        <v>62500</v>
      </c>
      <c r="G166" s="334">
        <v>62500</v>
      </c>
      <c r="H166" s="334">
        <v>62500</v>
      </c>
      <c r="I166" s="334">
        <v>62500</v>
      </c>
      <c r="J166" s="334">
        <v>62500</v>
      </c>
      <c r="K166" s="334">
        <v>62500</v>
      </c>
      <c r="L166" s="307">
        <v>70000</v>
      </c>
      <c r="M166" s="307">
        <v>70000</v>
      </c>
      <c r="N166" s="338">
        <v>756666.66</v>
      </c>
      <c r="O166" s="244"/>
    </row>
    <row r="167" spans="1:15">
      <c r="A167" s="323" t="s">
        <v>144</v>
      </c>
      <c r="B167" s="307">
        <v>1800</v>
      </c>
      <c r="C167" s="307">
        <v>1800</v>
      </c>
      <c r="D167" s="307">
        <v>1800</v>
      </c>
      <c r="E167" s="307">
        <v>1800</v>
      </c>
      <c r="F167" s="307">
        <v>1800</v>
      </c>
      <c r="G167" s="307">
        <v>1800</v>
      </c>
      <c r="H167" s="307">
        <v>1800</v>
      </c>
      <c r="I167" s="307">
        <v>1800</v>
      </c>
      <c r="J167" s="307">
        <v>1800</v>
      </c>
      <c r="K167" s="307">
        <v>1800</v>
      </c>
      <c r="L167" s="307">
        <v>1800</v>
      </c>
      <c r="M167" s="307">
        <v>1800</v>
      </c>
      <c r="N167" s="338">
        <v>21600</v>
      </c>
      <c r="O167" s="244"/>
    </row>
    <row r="168" spans="1:15">
      <c r="A168" s="323" t="s">
        <v>145</v>
      </c>
      <c r="B168" s="307">
        <v>1950</v>
      </c>
      <c r="C168" s="307">
        <v>1950</v>
      </c>
      <c r="D168" s="307">
        <v>1950</v>
      </c>
      <c r="E168" s="307">
        <v>1950</v>
      </c>
      <c r="F168" s="307">
        <v>1950</v>
      </c>
      <c r="G168" s="307">
        <v>1950</v>
      </c>
      <c r="H168" s="307">
        <v>1950</v>
      </c>
      <c r="I168" s="307">
        <v>1950</v>
      </c>
      <c r="J168" s="307">
        <v>1950</v>
      </c>
      <c r="K168" s="307">
        <v>1950</v>
      </c>
      <c r="L168" s="307">
        <v>1950</v>
      </c>
      <c r="M168" s="307">
        <v>1950</v>
      </c>
      <c r="N168" s="338">
        <v>23400</v>
      </c>
      <c r="O168" s="244"/>
    </row>
    <row r="169" spans="1:15">
      <c r="A169" s="323" t="s">
        <v>81</v>
      </c>
      <c r="B169" s="307">
        <v>200</v>
      </c>
      <c r="C169" s="307">
        <v>200</v>
      </c>
      <c r="D169" s="307">
        <v>200</v>
      </c>
      <c r="E169" s="307">
        <v>200</v>
      </c>
      <c r="F169" s="307">
        <v>200</v>
      </c>
      <c r="G169" s="307">
        <v>200</v>
      </c>
      <c r="H169" s="307">
        <v>200</v>
      </c>
      <c r="I169" s="307">
        <v>200</v>
      </c>
      <c r="J169" s="307">
        <v>200</v>
      </c>
      <c r="K169" s="307">
        <v>200</v>
      </c>
      <c r="L169" s="307">
        <v>300</v>
      </c>
      <c r="M169" s="307">
        <v>200</v>
      </c>
      <c r="N169" s="338">
        <v>2500</v>
      </c>
      <c r="O169" s="244"/>
    </row>
    <row r="170" spans="1:15">
      <c r="A170" s="323" t="s">
        <v>153</v>
      </c>
      <c r="B170" s="271"/>
      <c r="C170" s="271"/>
      <c r="D170" s="307">
        <v>12500</v>
      </c>
      <c r="E170" s="271"/>
      <c r="F170" s="271"/>
      <c r="G170" s="307">
        <v>50000</v>
      </c>
      <c r="H170" s="271"/>
      <c r="I170" s="271"/>
      <c r="J170" s="271"/>
      <c r="K170" s="271"/>
      <c r="L170" s="271"/>
      <c r="M170" s="271"/>
      <c r="N170" s="338">
        <v>62500</v>
      </c>
      <c r="O170" s="244"/>
    </row>
    <row r="171" spans="1:15">
      <c r="A171" s="323" t="s">
        <v>146</v>
      </c>
      <c r="B171" s="271"/>
      <c r="C171" s="271"/>
      <c r="D171" s="307">
        <v>25</v>
      </c>
      <c r="E171" s="271"/>
      <c r="F171" s="271"/>
      <c r="G171" s="271"/>
      <c r="H171" s="271"/>
      <c r="I171" s="271"/>
      <c r="J171" s="307">
        <v>25</v>
      </c>
      <c r="K171" s="271"/>
      <c r="L171" s="244"/>
      <c r="M171" s="244"/>
      <c r="N171" s="339">
        <v>50</v>
      </c>
      <c r="O171" s="244"/>
    </row>
    <row r="172" spans="1:15">
      <c r="A172" s="323" t="s">
        <v>147</v>
      </c>
      <c r="B172" s="307">
        <v>3950</v>
      </c>
      <c r="C172" s="307">
        <v>3950</v>
      </c>
      <c r="D172" s="307">
        <v>3975</v>
      </c>
      <c r="E172" s="307">
        <v>3950</v>
      </c>
      <c r="F172" s="307">
        <v>3950</v>
      </c>
      <c r="G172" s="307">
        <v>3950</v>
      </c>
      <c r="H172" s="307">
        <v>3950</v>
      </c>
      <c r="I172" s="307">
        <v>3950</v>
      </c>
      <c r="J172" s="307">
        <v>3975</v>
      </c>
      <c r="K172" s="307">
        <v>3950</v>
      </c>
      <c r="L172" s="307">
        <v>4050</v>
      </c>
      <c r="M172" s="307">
        <v>3950</v>
      </c>
      <c r="N172" s="338">
        <v>47550</v>
      </c>
      <c r="O172" s="244"/>
    </row>
    <row r="173" spans="1:15">
      <c r="A173" s="325" t="s">
        <v>148</v>
      </c>
      <c r="B173" s="314">
        <v>54383.33</v>
      </c>
      <c r="C173" s="314">
        <v>54383.33</v>
      </c>
      <c r="D173" s="314">
        <v>71025</v>
      </c>
      <c r="E173" s="314">
        <v>58550</v>
      </c>
      <c r="F173" s="314">
        <v>58550</v>
      </c>
      <c r="G173" s="314">
        <v>108550</v>
      </c>
      <c r="H173" s="314">
        <v>58550</v>
      </c>
      <c r="I173" s="314">
        <v>58550</v>
      </c>
      <c r="J173" s="314">
        <v>58525</v>
      </c>
      <c r="K173" s="314">
        <v>58550</v>
      </c>
      <c r="L173" s="335">
        <v>70950</v>
      </c>
      <c r="M173" s="335">
        <v>71050</v>
      </c>
      <c r="N173" s="338">
        <v>781616.66</v>
      </c>
      <c r="O173" s="244"/>
    </row>
    <row r="174" spans="1:15">
      <c r="A174" s="323" t="s">
        <v>149</v>
      </c>
      <c r="B174" s="307">
        <v>58333.33</v>
      </c>
      <c r="C174" s="307">
        <v>58333.33</v>
      </c>
      <c r="D174" s="334">
        <v>62500</v>
      </c>
      <c r="E174" s="307">
        <v>62500</v>
      </c>
      <c r="F174" s="307">
        <v>62500</v>
      </c>
      <c r="G174" s="307">
        <v>62500</v>
      </c>
      <c r="H174" s="307">
        <v>62500</v>
      </c>
      <c r="I174" s="307">
        <v>62500</v>
      </c>
      <c r="J174" s="307">
        <v>62500</v>
      </c>
      <c r="K174" s="307">
        <v>62500</v>
      </c>
      <c r="L174" s="307">
        <v>75000</v>
      </c>
      <c r="M174" s="307">
        <v>75000</v>
      </c>
      <c r="N174" s="338">
        <v>766666.66</v>
      </c>
      <c r="O174" s="244"/>
    </row>
    <row r="175" spans="1:15">
      <c r="A175" s="318"/>
      <c r="B175" s="244"/>
      <c r="C175" s="244"/>
      <c r="D175" s="244"/>
      <c r="E175" s="244"/>
      <c r="F175" s="244"/>
      <c r="G175" s="244"/>
      <c r="H175" s="244"/>
      <c r="I175" s="244"/>
      <c r="J175" s="244"/>
      <c r="K175" s="244"/>
      <c r="L175" s="244"/>
      <c r="M175" s="244"/>
      <c r="N175" s="244"/>
      <c r="O175" s="244"/>
    </row>
    <row r="176" spans="1:15">
      <c r="A176" s="318"/>
      <c r="B176" s="244"/>
      <c r="C176" s="244"/>
      <c r="D176" s="244"/>
      <c r="E176" s="244"/>
      <c r="F176" s="244"/>
      <c r="G176" s="244"/>
      <c r="H176" s="244"/>
      <c r="I176" s="244"/>
      <c r="J176" s="244"/>
      <c r="K176" s="244"/>
      <c r="L176" s="244"/>
      <c r="M176" s="244"/>
      <c r="N176" s="244"/>
      <c r="O176" s="244"/>
    </row>
    <row r="177" spans="1:15">
      <c r="A177" s="340" t="s">
        <v>156</v>
      </c>
      <c r="B177" s="271" t="s">
        <v>65</v>
      </c>
      <c r="C177" s="271" t="s">
        <v>66</v>
      </c>
      <c r="D177" s="271" t="s">
        <v>67</v>
      </c>
      <c r="E177" s="271" t="s">
        <v>68</v>
      </c>
      <c r="F177" s="271" t="s">
        <v>69</v>
      </c>
      <c r="G177" s="271" t="s">
        <v>70</v>
      </c>
      <c r="H177" s="271" t="s">
        <v>104</v>
      </c>
      <c r="I177" s="271" t="s">
        <v>72</v>
      </c>
      <c r="J177" s="271" t="s">
        <v>73</v>
      </c>
      <c r="K177" s="271" t="s">
        <v>74</v>
      </c>
      <c r="L177" s="271" t="s">
        <v>75</v>
      </c>
      <c r="M177" s="271" t="s">
        <v>76</v>
      </c>
      <c r="N177" s="305" t="s">
        <v>138</v>
      </c>
      <c r="O177" s="244"/>
    </row>
    <row r="178" spans="1:15">
      <c r="A178" s="323" t="s">
        <v>139</v>
      </c>
      <c r="B178" s="271"/>
      <c r="C178" s="307">
        <v>13104.84</v>
      </c>
      <c r="D178" s="307">
        <v>31250</v>
      </c>
      <c r="E178" s="307">
        <v>31250</v>
      </c>
      <c r="F178" s="307">
        <v>31250</v>
      </c>
      <c r="G178" s="307">
        <v>33333.5</v>
      </c>
      <c r="H178" s="307">
        <v>33333.5</v>
      </c>
      <c r="I178" s="307">
        <v>33333.5</v>
      </c>
      <c r="J178" s="307">
        <v>33333.5</v>
      </c>
      <c r="K178" s="307">
        <v>33333.5</v>
      </c>
      <c r="L178" s="307">
        <v>33333.5</v>
      </c>
      <c r="M178" s="307">
        <v>33333.5</v>
      </c>
      <c r="N178" s="328">
        <v>340189.34</v>
      </c>
      <c r="O178" s="244"/>
    </row>
    <row r="179" spans="1:15">
      <c r="A179" s="323" t="s">
        <v>140</v>
      </c>
      <c r="B179" s="271"/>
      <c r="C179" s="307">
        <v>5241.9350000000004</v>
      </c>
      <c r="D179" s="307">
        <v>12500</v>
      </c>
      <c r="E179" s="307">
        <v>12500</v>
      </c>
      <c r="F179" s="307">
        <v>12500</v>
      </c>
      <c r="G179" s="307">
        <v>13333.4</v>
      </c>
      <c r="H179" s="307">
        <v>13333.4</v>
      </c>
      <c r="I179" s="307">
        <v>13333.4</v>
      </c>
      <c r="J179" s="307">
        <v>13333.4</v>
      </c>
      <c r="K179" s="307">
        <v>13333.4</v>
      </c>
      <c r="L179" s="307">
        <v>13333.4</v>
      </c>
      <c r="M179" s="307">
        <v>13333.4</v>
      </c>
      <c r="N179" s="328">
        <v>136075.74</v>
      </c>
      <c r="O179" s="244"/>
    </row>
    <row r="180" spans="1:15">
      <c r="A180" s="323" t="s">
        <v>141</v>
      </c>
      <c r="B180" s="271"/>
      <c r="C180" s="307">
        <v>7862.9030000000002</v>
      </c>
      <c r="D180" s="307">
        <v>18750</v>
      </c>
      <c r="E180" s="307">
        <v>18750</v>
      </c>
      <c r="F180" s="307">
        <v>18750</v>
      </c>
      <c r="G180" s="307">
        <v>20000.099999999999</v>
      </c>
      <c r="H180" s="307">
        <v>20000.099999999999</v>
      </c>
      <c r="I180" s="307">
        <v>20000.099999999999</v>
      </c>
      <c r="J180" s="307">
        <v>20000.099999999999</v>
      </c>
      <c r="K180" s="307">
        <v>20000.099999999999</v>
      </c>
      <c r="L180" s="307">
        <v>20000.099999999999</v>
      </c>
      <c r="M180" s="307">
        <v>20000.099999999999</v>
      </c>
      <c r="N180" s="328">
        <v>204113.6</v>
      </c>
      <c r="O180" s="244"/>
    </row>
    <row r="181" spans="1:15">
      <c r="A181" s="324" t="s">
        <v>142</v>
      </c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328">
        <v>0</v>
      </c>
      <c r="O181" s="244"/>
    </row>
    <row r="182" spans="1:15">
      <c r="A182" s="323" t="s">
        <v>143</v>
      </c>
      <c r="B182" s="271"/>
      <c r="C182" s="307">
        <v>26209.68</v>
      </c>
      <c r="D182" s="307">
        <v>62500</v>
      </c>
      <c r="E182" s="307">
        <v>62500</v>
      </c>
      <c r="F182" s="307">
        <v>62500</v>
      </c>
      <c r="G182" s="307">
        <v>66667</v>
      </c>
      <c r="H182" s="307">
        <v>66667</v>
      </c>
      <c r="I182" s="307">
        <v>66667</v>
      </c>
      <c r="J182" s="307">
        <v>66667</v>
      </c>
      <c r="K182" s="307">
        <v>66667</v>
      </c>
      <c r="L182" s="307">
        <v>66667</v>
      </c>
      <c r="M182" s="307">
        <v>66667</v>
      </c>
      <c r="N182" s="328">
        <v>680378.68</v>
      </c>
      <c r="O182" s="244"/>
    </row>
    <row r="183" spans="1:15">
      <c r="A183" s="323" t="s">
        <v>144</v>
      </c>
      <c r="B183" s="271"/>
      <c r="C183" s="307">
        <v>1573</v>
      </c>
      <c r="D183" s="307">
        <v>1800</v>
      </c>
      <c r="E183" s="307">
        <v>1800</v>
      </c>
      <c r="F183" s="307">
        <v>1800</v>
      </c>
      <c r="G183" s="307">
        <v>1800</v>
      </c>
      <c r="H183" s="307">
        <v>1800</v>
      </c>
      <c r="I183" s="307">
        <v>1800</v>
      </c>
      <c r="J183" s="307">
        <v>1800</v>
      </c>
      <c r="K183" s="307">
        <v>1800</v>
      </c>
      <c r="L183" s="307">
        <v>1800</v>
      </c>
      <c r="M183" s="307">
        <v>1800</v>
      </c>
      <c r="N183" s="328">
        <v>19573</v>
      </c>
      <c r="O183" s="244"/>
    </row>
    <row r="184" spans="1:15">
      <c r="A184" s="323" t="s">
        <v>145</v>
      </c>
      <c r="B184" s="271"/>
      <c r="C184" s="307">
        <v>1704</v>
      </c>
      <c r="D184" s="307">
        <v>1950</v>
      </c>
      <c r="E184" s="307">
        <v>1950</v>
      </c>
      <c r="F184" s="307">
        <v>1950</v>
      </c>
      <c r="G184" s="307">
        <v>1950</v>
      </c>
      <c r="H184" s="307">
        <v>1950</v>
      </c>
      <c r="I184" s="307">
        <v>1950</v>
      </c>
      <c r="J184" s="307">
        <v>1950</v>
      </c>
      <c r="K184" s="307">
        <v>1950</v>
      </c>
      <c r="L184" s="307">
        <v>1950</v>
      </c>
      <c r="M184" s="307">
        <v>1950</v>
      </c>
      <c r="N184" s="328">
        <v>21204</v>
      </c>
      <c r="O184" s="244"/>
    </row>
    <row r="185" spans="1:15">
      <c r="A185" s="323" t="s">
        <v>81</v>
      </c>
      <c r="B185" s="271"/>
      <c r="C185" s="307">
        <v>200</v>
      </c>
      <c r="D185" s="307">
        <v>200</v>
      </c>
      <c r="E185" s="307">
        <v>200</v>
      </c>
      <c r="F185" s="307">
        <v>200</v>
      </c>
      <c r="G185" s="307">
        <v>200</v>
      </c>
      <c r="H185" s="307">
        <v>200</v>
      </c>
      <c r="I185" s="307">
        <v>200</v>
      </c>
      <c r="J185" s="307">
        <v>200</v>
      </c>
      <c r="K185" s="307">
        <v>200</v>
      </c>
      <c r="L185" s="307">
        <v>3000</v>
      </c>
      <c r="M185" s="307">
        <v>200</v>
      </c>
      <c r="N185" s="328">
        <v>5000</v>
      </c>
      <c r="O185" s="244"/>
    </row>
    <row r="186" spans="1:15">
      <c r="A186" s="323" t="s">
        <v>153</v>
      </c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328">
        <v>0</v>
      </c>
      <c r="O186" s="244"/>
    </row>
    <row r="187" spans="1:15">
      <c r="A187" s="323" t="s">
        <v>146</v>
      </c>
      <c r="B187" s="271"/>
      <c r="C187" s="271"/>
      <c r="D187" s="307">
        <v>25</v>
      </c>
      <c r="E187" s="271"/>
      <c r="F187" s="271"/>
      <c r="G187" s="271"/>
      <c r="H187" s="271"/>
      <c r="I187" s="271"/>
      <c r="J187" s="307">
        <v>25</v>
      </c>
      <c r="K187" s="271"/>
      <c r="L187" s="271"/>
      <c r="M187" s="271"/>
      <c r="N187" s="328">
        <v>50</v>
      </c>
      <c r="O187" s="244"/>
    </row>
    <row r="188" spans="1:15">
      <c r="A188" s="323" t="s">
        <v>147</v>
      </c>
      <c r="B188" s="271"/>
      <c r="C188" s="307">
        <v>3477</v>
      </c>
      <c r="D188" s="307">
        <v>3975</v>
      </c>
      <c r="E188" s="307">
        <v>3950</v>
      </c>
      <c r="F188" s="307">
        <v>3950</v>
      </c>
      <c r="G188" s="307">
        <v>3950</v>
      </c>
      <c r="H188" s="307">
        <v>3950</v>
      </c>
      <c r="I188" s="307">
        <v>3950</v>
      </c>
      <c r="J188" s="307">
        <v>3975</v>
      </c>
      <c r="K188" s="307">
        <v>3950</v>
      </c>
      <c r="L188" s="307">
        <v>6750</v>
      </c>
      <c r="M188" s="307">
        <v>3950</v>
      </c>
      <c r="N188" s="328">
        <v>45827</v>
      </c>
      <c r="O188" s="244"/>
    </row>
    <row r="189" spans="1:15">
      <c r="A189" s="325" t="s">
        <v>148</v>
      </c>
      <c r="B189" s="341"/>
      <c r="C189" s="314">
        <v>22732.68</v>
      </c>
      <c r="D189" s="314">
        <v>58525</v>
      </c>
      <c r="E189" s="314">
        <v>58550</v>
      </c>
      <c r="F189" s="314">
        <v>58550</v>
      </c>
      <c r="G189" s="314">
        <v>62717</v>
      </c>
      <c r="H189" s="314">
        <v>62717</v>
      </c>
      <c r="I189" s="314">
        <v>62717</v>
      </c>
      <c r="J189" s="314">
        <v>62692</v>
      </c>
      <c r="K189" s="314">
        <v>62717</v>
      </c>
      <c r="L189" s="314">
        <v>59917</v>
      </c>
      <c r="M189" s="314">
        <v>62717</v>
      </c>
      <c r="N189" s="328">
        <v>634551.68000000005</v>
      </c>
      <c r="O189" s="244"/>
    </row>
    <row r="190" spans="1:15">
      <c r="A190" s="323" t="s">
        <v>149</v>
      </c>
      <c r="B190" s="271"/>
      <c r="C190" s="307">
        <v>26209.68</v>
      </c>
      <c r="D190" s="307">
        <v>62500</v>
      </c>
      <c r="E190" s="307">
        <v>62500</v>
      </c>
      <c r="F190" s="307">
        <v>62500</v>
      </c>
      <c r="G190" s="307">
        <v>66667</v>
      </c>
      <c r="H190" s="307">
        <v>66667</v>
      </c>
      <c r="I190" s="307">
        <v>66667</v>
      </c>
      <c r="J190" s="307">
        <v>66667</v>
      </c>
      <c r="K190" s="307">
        <v>66667</v>
      </c>
      <c r="L190" s="307">
        <v>66667</v>
      </c>
      <c r="M190" s="307">
        <v>66667</v>
      </c>
      <c r="N190" s="328">
        <v>680378.68</v>
      </c>
      <c r="O190" s="244"/>
    </row>
    <row r="191" spans="1:15">
      <c r="A191" s="318"/>
      <c r="B191" s="244"/>
      <c r="C191" s="244"/>
      <c r="D191" s="244"/>
      <c r="E191" s="244"/>
      <c r="F191" s="244"/>
      <c r="G191" s="244"/>
      <c r="H191" s="244"/>
      <c r="I191" s="244"/>
      <c r="J191" s="244"/>
      <c r="K191" s="244"/>
      <c r="L191" s="244"/>
      <c r="M191" s="244"/>
      <c r="N191" s="244"/>
      <c r="O191" s="244"/>
    </row>
    <row r="192" spans="1:15">
      <c r="A192" s="318"/>
      <c r="B192" s="244"/>
      <c r="C192" s="244"/>
      <c r="D192" s="244"/>
      <c r="E192" s="244"/>
      <c r="F192" s="244"/>
      <c r="G192" s="244"/>
      <c r="H192" s="244"/>
      <c r="I192" s="244"/>
      <c r="J192" s="244"/>
      <c r="K192" s="244"/>
      <c r="L192" s="244"/>
      <c r="M192" s="244"/>
      <c r="N192" s="244"/>
      <c r="O192" s="244"/>
    </row>
    <row r="193" spans="1:15">
      <c r="A193" s="340" t="s">
        <v>157</v>
      </c>
      <c r="B193" s="271" t="s">
        <v>65</v>
      </c>
      <c r="C193" s="271" t="s">
        <v>66</v>
      </c>
      <c r="D193" s="271" t="s">
        <v>67</v>
      </c>
      <c r="E193" s="271" t="s">
        <v>68</v>
      </c>
      <c r="F193" s="271" t="s">
        <v>69</v>
      </c>
      <c r="G193" s="271" t="s">
        <v>70</v>
      </c>
      <c r="H193" s="271" t="s">
        <v>104</v>
      </c>
      <c r="I193" s="271" t="s">
        <v>72</v>
      </c>
      <c r="J193" s="271" t="s">
        <v>73</v>
      </c>
      <c r="K193" s="271" t="s">
        <v>74</v>
      </c>
      <c r="L193" s="271" t="s">
        <v>75</v>
      </c>
      <c r="M193" s="271" t="s">
        <v>76</v>
      </c>
      <c r="N193" s="305" t="s">
        <v>138</v>
      </c>
      <c r="O193" s="244"/>
    </row>
    <row r="194" spans="1:15">
      <c r="A194" s="323" t="s">
        <v>139</v>
      </c>
      <c r="B194" s="271"/>
      <c r="C194" s="271"/>
      <c r="D194" s="307">
        <v>25000</v>
      </c>
      <c r="E194" s="307">
        <v>31250</v>
      </c>
      <c r="F194" s="307">
        <v>31250</v>
      </c>
      <c r="G194" s="307">
        <v>33333.5</v>
      </c>
      <c r="H194" s="307">
        <v>33333.5</v>
      </c>
      <c r="I194" s="307">
        <v>33333.5</v>
      </c>
      <c r="J194" s="307">
        <v>33333.5</v>
      </c>
      <c r="K194" s="307">
        <v>33333.5</v>
      </c>
      <c r="L194" s="307">
        <v>33333.5</v>
      </c>
      <c r="M194" s="307">
        <v>33333.5</v>
      </c>
      <c r="N194" s="328">
        <v>320834.5</v>
      </c>
      <c r="O194" s="244"/>
    </row>
    <row r="195" spans="1:15">
      <c r="A195" s="323" t="s">
        <v>140</v>
      </c>
      <c r="B195" s="271"/>
      <c r="C195" s="271"/>
      <c r="D195" s="307">
        <v>10000</v>
      </c>
      <c r="E195" s="307">
        <v>12500</v>
      </c>
      <c r="F195" s="307">
        <v>12500</v>
      </c>
      <c r="G195" s="307">
        <v>13333.4</v>
      </c>
      <c r="H195" s="307">
        <v>13333.4</v>
      </c>
      <c r="I195" s="307">
        <v>13333.4</v>
      </c>
      <c r="J195" s="307">
        <v>13333.4</v>
      </c>
      <c r="K195" s="307">
        <v>13333.4</v>
      </c>
      <c r="L195" s="307">
        <v>13333.4</v>
      </c>
      <c r="M195" s="307">
        <v>13333.4</v>
      </c>
      <c r="N195" s="328">
        <v>128333.8</v>
      </c>
      <c r="O195" s="244"/>
    </row>
    <row r="196" spans="1:15">
      <c r="A196" s="323" t="s">
        <v>141</v>
      </c>
      <c r="B196" s="271"/>
      <c r="C196" s="271"/>
      <c r="D196" s="307">
        <v>15000</v>
      </c>
      <c r="E196" s="307">
        <v>18750</v>
      </c>
      <c r="F196" s="307">
        <v>18750</v>
      </c>
      <c r="G196" s="307">
        <v>20000.099999999999</v>
      </c>
      <c r="H196" s="307">
        <v>20000.099999999999</v>
      </c>
      <c r="I196" s="307">
        <v>20000.099999999999</v>
      </c>
      <c r="J196" s="307">
        <v>20000.099999999999</v>
      </c>
      <c r="K196" s="307">
        <v>20000.099999999999</v>
      </c>
      <c r="L196" s="307">
        <v>20000.099999999999</v>
      </c>
      <c r="M196" s="307">
        <v>20000.099999999999</v>
      </c>
      <c r="N196" s="328">
        <v>192500.7</v>
      </c>
      <c r="O196" s="244"/>
    </row>
    <row r="197" spans="1:15">
      <c r="A197" s="324" t="s">
        <v>142</v>
      </c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328">
        <v>0</v>
      </c>
      <c r="O197" s="244"/>
    </row>
    <row r="198" spans="1:15">
      <c r="A198" s="323" t="s">
        <v>143</v>
      </c>
      <c r="B198" s="271"/>
      <c r="C198" s="271"/>
      <c r="D198" s="307">
        <v>50000</v>
      </c>
      <c r="E198" s="307">
        <v>62500</v>
      </c>
      <c r="F198" s="307">
        <v>62500</v>
      </c>
      <c r="G198" s="307">
        <v>66667</v>
      </c>
      <c r="H198" s="307">
        <v>66667</v>
      </c>
      <c r="I198" s="307">
        <v>66667</v>
      </c>
      <c r="J198" s="307">
        <v>66667</v>
      </c>
      <c r="K198" s="307">
        <v>66667</v>
      </c>
      <c r="L198" s="307">
        <v>66667</v>
      </c>
      <c r="M198" s="307">
        <v>66667</v>
      </c>
      <c r="N198" s="328">
        <v>641669</v>
      </c>
      <c r="O198" s="244"/>
    </row>
    <row r="199" spans="1:15">
      <c r="A199" s="323" t="s">
        <v>144</v>
      </c>
      <c r="B199" s="271"/>
      <c r="C199" s="271"/>
      <c r="D199" s="307">
        <v>1800</v>
      </c>
      <c r="E199" s="307">
        <v>1800</v>
      </c>
      <c r="F199" s="307">
        <v>1800</v>
      </c>
      <c r="G199" s="307">
        <v>1800</v>
      </c>
      <c r="H199" s="307">
        <v>1800</v>
      </c>
      <c r="I199" s="307">
        <v>1800</v>
      </c>
      <c r="J199" s="307">
        <v>1800</v>
      </c>
      <c r="K199" s="307">
        <v>1800</v>
      </c>
      <c r="L199" s="307">
        <v>1800</v>
      </c>
      <c r="M199" s="307">
        <v>1800</v>
      </c>
      <c r="N199" s="328">
        <v>18000</v>
      </c>
      <c r="O199" s="244"/>
    </row>
    <row r="200" spans="1:15">
      <c r="A200" s="323" t="s">
        <v>145</v>
      </c>
      <c r="B200" s="271"/>
      <c r="C200" s="271"/>
      <c r="D200" s="307">
        <v>1950</v>
      </c>
      <c r="E200" s="307">
        <v>1950</v>
      </c>
      <c r="F200" s="307">
        <v>1950</v>
      </c>
      <c r="G200" s="307">
        <v>1950</v>
      </c>
      <c r="H200" s="307">
        <v>1950</v>
      </c>
      <c r="I200" s="307">
        <v>1950</v>
      </c>
      <c r="J200" s="307">
        <v>1950</v>
      </c>
      <c r="K200" s="307">
        <v>1950</v>
      </c>
      <c r="L200" s="307">
        <v>1950</v>
      </c>
      <c r="M200" s="307">
        <v>1950</v>
      </c>
      <c r="N200" s="328">
        <v>19500</v>
      </c>
      <c r="O200" s="244"/>
    </row>
    <row r="201" spans="1:15">
      <c r="A201" s="323" t="s">
        <v>81</v>
      </c>
      <c r="B201" s="271"/>
      <c r="C201" s="271"/>
      <c r="D201" s="307">
        <v>200</v>
      </c>
      <c r="E201" s="307">
        <v>200</v>
      </c>
      <c r="F201" s="307">
        <v>200</v>
      </c>
      <c r="G201" s="307">
        <v>200</v>
      </c>
      <c r="H201" s="307">
        <v>200</v>
      </c>
      <c r="I201" s="307">
        <v>200</v>
      </c>
      <c r="J201" s="307">
        <v>200</v>
      </c>
      <c r="K201" s="307">
        <v>200</v>
      </c>
      <c r="L201" s="307">
        <v>3000</v>
      </c>
      <c r="M201" s="307">
        <v>200</v>
      </c>
      <c r="N201" s="328">
        <v>4800</v>
      </c>
      <c r="O201" s="244"/>
    </row>
    <row r="202" spans="1:15">
      <c r="A202" s="323" t="s">
        <v>153</v>
      </c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328">
        <v>0</v>
      </c>
      <c r="O202" s="244"/>
    </row>
    <row r="203" spans="1:15">
      <c r="A203" s="323" t="s">
        <v>146</v>
      </c>
      <c r="B203" s="271"/>
      <c r="C203" s="271"/>
      <c r="D203" s="307">
        <v>25</v>
      </c>
      <c r="E203" s="271"/>
      <c r="F203" s="271"/>
      <c r="G203" s="271"/>
      <c r="H203" s="271"/>
      <c r="I203" s="271"/>
      <c r="J203" s="307">
        <v>25</v>
      </c>
      <c r="K203" s="271"/>
      <c r="L203" s="271"/>
      <c r="M203" s="271"/>
      <c r="N203" s="328">
        <v>50</v>
      </c>
      <c r="O203" s="244"/>
    </row>
    <row r="204" spans="1:15">
      <c r="A204" s="323" t="s">
        <v>147</v>
      </c>
      <c r="B204" s="271"/>
      <c r="C204" s="271"/>
      <c r="D204" s="307">
        <v>3975</v>
      </c>
      <c r="E204" s="307">
        <v>3950</v>
      </c>
      <c r="F204" s="307">
        <v>3950</v>
      </c>
      <c r="G204" s="307">
        <v>3950</v>
      </c>
      <c r="H204" s="307">
        <v>3950</v>
      </c>
      <c r="I204" s="307">
        <v>3950</v>
      </c>
      <c r="J204" s="307">
        <v>3975</v>
      </c>
      <c r="K204" s="307">
        <v>3950</v>
      </c>
      <c r="L204" s="307">
        <v>6750</v>
      </c>
      <c r="M204" s="307">
        <v>3950</v>
      </c>
      <c r="N204" s="328">
        <v>42350</v>
      </c>
      <c r="O204" s="244"/>
    </row>
    <row r="205" spans="1:15">
      <c r="A205" s="325" t="s">
        <v>148</v>
      </c>
      <c r="B205" s="341"/>
      <c r="C205" s="341"/>
      <c r="D205" s="314">
        <v>46025</v>
      </c>
      <c r="E205" s="314">
        <v>58550</v>
      </c>
      <c r="F205" s="314">
        <v>58550</v>
      </c>
      <c r="G205" s="314">
        <v>62717</v>
      </c>
      <c r="H205" s="314">
        <v>62717</v>
      </c>
      <c r="I205" s="314">
        <v>62717</v>
      </c>
      <c r="J205" s="314">
        <v>62692</v>
      </c>
      <c r="K205" s="314">
        <v>62717</v>
      </c>
      <c r="L205" s="314">
        <v>59917</v>
      </c>
      <c r="M205" s="314">
        <v>62717</v>
      </c>
      <c r="N205" s="328">
        <v>599319</v>
      </c>
      <c r="O205" s="244"/>
    </row>
    <row r="206" spans="1:15">
      <c r="A206" s="323" t="s">
        <v>149</v>
      </c>
      <c r="B206" s="271"/>
      <c r="C206" s="271"/>
      <c r="D206" s="307">
        <v>62500</v>
      </c>
      <c r="E206" s="307">
        <v>62500</v>
      </c>
      <c r="F206" s="307">
        <v>62500</v>
      </c>
      <c r="G206" s="307">
        <v>66667</v>
      </c>
      <c r="H206" s="307">
        <v>66667</v>
      </c>
      <c r="I206" s="307">
        <v>66667</v>
      </c>
      <c r="J206" s="307">
        <v>66667</v>
      </c>
      <c r="K206" s="307">
        <v>66667</v>
      </c>
      <c r="L206" s="307">
        <v>66667</v>
      </c>
      <c r="M206" s="307">
        <v>66667</v>
      </c>
      <c r="N206" s="328">
        <v>654169</v>
      </c>
      <c r="O206" s="244"/>
    </row>
    <row r="207" spans="1:15">
      <c r="A207" s="318"/>
      <c r="B207" s="244"/>
      <c r="C207" s="244"/>
      <c r="D207" s="244"/>
      <c r="E207" s="244"/>
      <c r="F207" s="244"/>
      <c r="G207" s="244"/>
      <c r="H207" s="244"/>
      <c r="I207" s="244"/>
      <c r="J207" s="244"/>
      <c r="K207" s="244"/>
      <c r="L207" s="244"/>
      <c r="M207" s="244"/>
      <c r="N207" s="244"/>
      <c r="O207" s="244"/>
    </row>
    <row r="208" spans="1:15">
      <c r="A208" s="318"/>
      <c r="B208" s="244"/>
      <c r="C208" s="244"/>
      <c r="D208" s="244"/>
      <c r="E208" s="244"/>
      <c r="F208" s="244"/>
      <c r="G208" s="244"/>
      <c r="H208" s="244"/>
      <c r="I208" s="244"/>
      <c r="J208" s="244"/>
      <c r="K208" s="244"/>
      <c r="L208" s="244"/>
      <c r="M208" s="244"/>
      <c r="N208" s="244"/>
      <c r="O208" s="244"/>
    </row>
    <row r="209" spans="1:15">
      <c r="A209" s="302" t="s">
        <v>130</v>
      </c>
      <c r="B209" s="271" t="s">
        <v>65</v>
      </c>
      <c r="C209" s="271" t="s">
        <v>66</v>
      </c>
      <c r="D209" s="271" t="s">
        <v>67</v>
      </c>
      <c r="E209" s="271" t="s">
        <v>68</v>
      </c>
      <c r="F209" s="271" t="s">
        <v>69</v>
      </c>
      <c r="G209" s="271" t="s">
        <v>70</v>
      </c>
      <c r="H209" s="271" t="s">
        <v>104</v>
      </c>
      <c r="I209" s="271" t="s">
        <v>72</v>
      </c>
      <c r="J209" s="271" t="s">
        <v>73</v>
      </c>
      <c r="K209" s="271" t="s">
        <v>74</v>
      </c>
      <c r="L209" s="271" t="s">
        <v>75</v>
      </c>
      <c r="M209" s="271" t="s">
        <v>76</v>
      </c>
      <c r="N209" s="305" t="s">
        <v>138</v>
      </c>
      <c r="O209" s="342"/>
    </row>
    <row r="210" spans="1:15">
      <c r="A210" s="323" t="s">
        <v>139</v>
      </c>
      <c r="B210" s="271"/>
      <c r="C210" s="271"/>
      <c r="D210" s="307">
        <v>14583.5</v>
      </c>
      <c r="E210" s="307">
        <v>14583.5</v>
      </c>
      <c r="F210" s="307">
        <v>14583.5</v>
      </c>
      <c r="G210" s="307">
        <v>14583.5</v>
      </c>
      <c r="H210" s="307">
        <v>14583.5</v>
      </c>
      <c r="I210" s="307">
        <v>14583.5</v>
      </c>
      <c r="J210" s="307">
        <v>14583.5</v>
      </c>
      <c r="K210" s="307">
        <v>14583.5</v>
      </c>
      <c r="L210" s="307">
        <v>14583.5</v>
      </c>
      <c r="M210" s="307">
        <v>14583.5</v>
      </c>
      <c r="N210" s="343">
        <v>145835</v>
      </c>
      <c r="O210" s="342"/>
    </row>
    <row r="211" spans="1:15">
      <c r="A211" s="323" t="s">
        <v>140</v>
      </c>
      <c r="B211" s="271"/>
      <c r="C211" s="271"/>
      <c r="D211" s="307">
        <v>5833.4</v>
      </c>
      <c r="E211" s="307">
        <v>5833.4</v>
      </c>
      <c r="F211" s="307">
        <v>5833.4</v>
      </c>
      <c r="G211" s="307">
        <v>5833.4</v>
      </c>
      <c r="H211" s="307">
        <v>5833.4</v>
      </c>
      <c r="I211" s="307">
        <v>5833.4</v>
      </c>
      <c r="J211" s="307">
        <v>5833.4</v>
      </c>
      <c r="K211" s="307">
        <v>5833.4</v>
      </c>
      <c r="L211" s="307">
        <v>5833.4</v>
      </c>
      <c r="M211" s="307">
        <v>5833.4</v>
      </c>
      <c r="N211" s="343">
        <v>58334</v>
      </c>
      <c r="O211" s="342"/>
    </row>
    <row r="212" spans="1:15">
      <c r="A212" s="323" t="s">
        <v>141</v>
      </c>
      <c r="B212" s="271"/>
      <c r="C212" s="271"/>
      <c r="D212" s="307">
        <v>8750.1</v>
      </c>
      <c r="E212" s="307">
        <v>8750.1</v>
      </c>
      <c r="F212" s="307">
        <v>8750.1</v>
      </c>
      <c r="G212" s="307">
        <v>8750.1</v>
      </c>
      <c r="H212" s="307">
        <v>8750.1</v>
      </c>
      <c r="I212" s="307">
        <v>8750.1</v>
      </c>
      <c r="J212" s="307">
        <v>8750.1</v>
      </c>
      <c r="K212" s="307">
        <v>8750.1</v>
      </c>
      <c r="L212" s="307">
        <v>8750.1</v>
      </c>
      <c r="M212" s="307">
        <v>8750.1</v>
      </c>
      <c r="N212" s="343">
        <v>87501</v>
      </c>
      <c r="O212" s="342"/>
    </row>
    <row r="213" spans="1:15">
      <c r="A213" s="324" t="s">
        <v>142</v>
      </c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343">
        <v>0</v>
      </c>
      <c r="O213" s="342"/>
    </row>
    <row r="214" spans="1:15">
      <c r="A214" s="323" t="s">
        <v>143</v>
      </c>
      <c r="B214" s="271"/>
      <c r="C214" s="271"/>
      <c r="D214" s="307">
        <v>29167</v>
      </c>
      <c r="E214" s="307">
        <v>29167</v>
      </c>
      <c r="F214" s="307">
        <v>29167</v>
      </c>
      <c r="G214" s="307">
        <v>29167</v>
      </c>
      <c r="H214" s="307">
        <v>29167</v>
      </c>
      <c r="I214" s="307">
        <v>29167</v>
      </c>
      <c r="J214" s="307">
        <v>29167</v>
      </c>
      <c r="K214" s="307">
        <v>29167</v>
      </c>
      <c r="L214" s="307">
        <v>29167</v>
      </c>
      <c r="M214" s="307">
        <v>29167</v>
      </c>
      <c r="N214" s="343">
        <v>291670</v>
      </c>
      <c r="O214" s="342"/>
    </row>
    <row r="215" spans="1:15">
      <c r="A215" s="323" t="s">
        <v>144</v>
      </c>
      <c r="B215" s="271"/>
      <c r="C215" s="271"/>
      <c r="D215" s="307">
        <v>1750</v>
      </c>
      <c r="E215" s="307">
        <v>1750</v>
      </c>
      <c r="F215" s="307">
        <v>1750</v>
      </c>
      <c r="G215" s="307">
        <v>1750</v>
      </c>
      <c r="H215" s="307">
        <v>1750</v>
      </c>
      <c r="I215" s="307">
        <v>1750</v>
      </c>
      <c r="J215" s="307">
        <v>1750</v>
      </c>
      <c r="K215" s="307">
        <v>1750</v>
      </c>
      <c r="L215" s="307">
        <v>1750</v>
      </c>
      <c r="M215" s="307">
        <v>1750</v>
      </c>
      <c r="N215" s="343">
        <v>17500</v>
      </c>
      <c r="O215" s="342"/>
    </row>
    <row r="216" spans="1:15">
      <c r="A216" s="323" t="s">
        <v>145</v>
      </c>
      <c r="B216" s="271"/>
      <c r="C216" s="271"/>
      <c r="D216" s="307">
        <v>1896</v>
      </c>
      <c r="E216" s="307">
        <v>1896</v>
      </c>
      <c r="F216" s="307">
        <v>1896</v>
      </c>
      <c r="G216" s="307">
        <v>1896</v>
      </c>
      <c r="H216" s="307">
        <v>1896</v>
      </c>
      <c r="I216" s="307">
        <v>1896</v>
      </c>
      <c r="J216" s="307">
        <v>1896</v>
      </c>
      <c r="K216" s="307">
        <v>1896</v>
      </c>
      <c r="L216" s="307">
        <v>1896</v>
      </c>
      <c r="M216" s="307">
        <v>1896</v>
      </c>
      <c r="N216" s="343">
        <v>18960</v>
      </c>
      <c r="O216" s="342"/>
    </row>
    <row r="217" spans="1:15">
      <c r="A217" s="323" t="s">
        <v>81</v>
      </c>
      <c r="B217" s="271"/>
      <c r="C217" s="271"/>
      <c r="D217" s="307">
        <v>200</v>
      </c>
      <c r="E217" s="307">
        <v>200</v>
      </c>
      <c r="F217" s="307">
        <v>200</v>
      </c>
      <c r="G217" s="307">
        <v>200</v>
      </c>
      <c r="H217" s="307">
        <v>200</v>
      </c>
      <c r="I217" s="307">
        <v>200</v>
      </c>
      <c r="J217" s="307">
        <v>200</v>
      </c>
      <c r="K217" s="307">
        <v>200</v>
      </c>
      <c r="L217" s="307">
        <v>300</v>
      </c>
      <c r="M217" s="307">
        <v>200</v>
      </c>
      <c r="N217" s="343">
        <v>2100</v>
      </c>
      <c r="O217" s="342"/>
    </row>
    <row r="218" spans="1:15">
      <c r="A218" s="323" t="s">
        <v>153</v>
      </c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343">
        <v>0</v>
      </c>
      <c r="O218" s="342"/>
    </row>
    <row r="219" spans="1:15">
      <c r="A219" s="323" t="s">
        <v>146</v>
      </c>
      <c r="B219" s="271"/>
      <c r="C219" s="271"/>
      <c r="D219" s="307">
        <v>25</v>
      </c>
      <c r="E219" s="271"/>
      <c r="F219" s="271"/>
      <c r="G219" s="271"/>
      <c r="H219" s="271"/>
      <c r="I219" s="271"/>
      <c r="J219" s="307">
        <v>25</v>
      </c>
      <c r="K219" s="271"/>
      <c r="L219" s="271"/>
      <c r="M219" s="271"/>
      <c r="N219" s="343">
        <v>50</v>
      </c>
      <c r="O219" s="342"/>
    </row>
    <row r="220" spans="1:15">
      <c r="A220" s="323" t="s">
        <v>147</v>
      </c>
      <c r="B220" s="271"/>
      <c r="C220" s="271"/>
      <c r="D220" s="307">
        <v>3871</v>
      </c>
      <c r="E220" s="307">
        <v>3846</v>
      </c>
      <c r="F220" s="307">
        <v>3846</v>
      </c>
      <c r="G220" s="307">
        <v>3846</v>
      </c>
      <c r="H220" s="307">
        <v>3846</v>
      </c>
      <c r="I220" s="307">
        <v>3846</v>
      </c>
      <c r="J220" s="307">
        <v>3871</v>
      </c>
      <c r="K220" s="307">
        <v>3846</v>
      </c>
      <c r="L220" s="307">
        <v>3946</v>
      </c>
      <c r="M220" s="307">
        <v>3846</v>
      </c>
      <c r="N220" s="343">
        <v>38610</v>
      </c>
      <c r="O220" s="342"/>
    </row>
    <row r="221" spans="1:15">
      <c r="A221" s="325" t="s">
        <v>148</v>
      </c>
      <c r="B221" s="341"/>
      <c r="C221" s="341"/>
      <c r="D221" s="314">
        <v>25296</v>
      </c>
      <c r="E221" s="314">
        <v>25321</v>
      </c>
      <c r="F221" s="314">
        <v>25321</v>
      </c>
      <c r="G221" s="314">
        <v>25321</v>
      </c>
      <c r="H221" s="314">
        <v>25321</v>
      </c>
      <c r="I221" s="314">
        <v>25321</v>
      </c>
      <c r="J221" s="314">
        <v>25296</v>
      </c>
      <c r="K221" s="314">
        <v>25321</v>
      </c>
      <c r="L221" s="314">
        <v>25221</v>
      </c>
      <c r="M221" s="314">
        <v>25321</v>
      </c>
      <c r="N221" s="344">
        <v>253060</v>
      </c>
      <c r="O221" s="342"/>
    </row>
    <row r="222" spans="1:15">
      <c r="A222" s="323" t="s">
        <v>149</v>
      </c>
      <c r="B222" s="271"/>
      <c r="C222" s="271"/>
      <c r="D222" s="307">
        <v>29167</v>
      </c>
      <c r="E222" s="307">
        <v>29167</v>
      </c>
      <c r="F222" s="307">
        <v>29167</v>
      </c>
      <c r="G222" s="307">
        <v>29167</v>
      </c>
      <c r="H222" s="307">
        <v>29167</v>
      </c>
      <c r="I222" s="307">
        <v>29167</v>
      </c>
      <c r="J222" s="307">
        <v>29167</v>
      </c>
      <c r="K222" s="307">
        <v>29167</v>
      </c>
      <c r="L222" s="307">
        <v>29167</v>
      </c>
      <c r="M222" s="307">
        <v>29167</v>
      </c>
      <c r="N222" s="343">
        <v>291670</v>
      </c>
      <c r="O222" s="342"/>
    </row>
    <row r="223" spans="1:15">
      <c r="A223" s="318"/>
      <c r="B223" s="244"/>
      <c r="C223" s="244"/>
      <c r="D223" s="244"/>
      <c r="E223" s="244"/>
      <c r="F223" s="244"/>
      <c r="G223" s="244"/>
      <c r="H223" s="244"/>
      <c r="I223" s="244"/>
      <c r="J223" s="244"/>
      <c r="K223" s="244"/>
      <c r="L223" s="244"/>
      <c r="M223" s="244"/>
      <c r="N223" s="244"/>
      <c r="O223" s="244"/>
    </row>
    <row r="224" spans="1:15">
      <c r="A224" s="318"/>
      <c r="B224" s="244"/>
      <c r="C224" s="244"/>
      <c r="D224" s="244"/>
      <c r="E224" s="244"/>
      <c r="F224" s="244"/>
      <c r="G224" s="244"/>
      <c r="H224" s="244"/>
      <c r="I224" s="244"/>
      <c r="J224" s="244"/>
      <c r="K224" s="244"/>
      <c r="L224" s="244"/>
      <c r="M224" s="244"/>
      <c r="N224" s="244"/>
      <c r="O224" s="244"/>
    </row>
    <row r="225" spans="1:15">
      <c r="A225" s="345" t="s">
        <v>133</v>
      </c>
      <c r="B225" s="244"/>
      <c r="C225" s="244"/>
      <c r="D225" s="244"/>
      <c r="E225" s="244"/>
      <c r="F225" s="244"/>
      <c r="G225" s="244"/>
      <c r="H225" s="244"/>
      <c r="I225" s="244"/>
      <c r="J225" s="244"/>
      <c r="K225" s="244"/>
      <c r="L225" s="244"/>
      <c r="M225" s="244"/>
      <c r="N225" s="244"/>
      <c r="O225" s="244"/>
    </row>
    <row r="226" spans="1:15">
      <c r="A226" s="323" t="s">
        <v>139</v>
      </c>
      <c r="B226" s="271" t="s">
        <v>65</v>
      </c>
      <c r="C226" s="271" t="s">
        <v>66</v>
      </c>
      <c r="D226" s="271" t="s">
        <v>67</v>
      </c>
      <c r="E226" s="271" t="s">
        <v>68</v>
      </c>
      <c r="F226" s="271" t="s">
        <v>69</v>
      </c>
      <c r="G226" s="271" t="s">
        <v>70</v>
      </c>
      <c r="H226" s="271" t="s">
        <v>104</v>
      </c>
      <c r="I226" s="271" t="s">
        <v>72</v>
      </c>
      <c r="J226" s="271" t="s">
        <v>73</v>
      </c>
      <c r="K226" s="271" t="s">
        <v>74</v>
      </c>
      <c r="L226" s="271" t="s">
        <v>75</v>
      </c>
      <c r="M226" s="271" t="s">
        <v>76</v>
      </c>
      <c r="N226" s="346" t="s">
        <v>138</v>
      </c>
      <c r="O226" s="244"/>
    </row>
    <row r="227" spans="1:15">
      <c r="A227" s="323" t="s">
        <v>140</v>
      </c>
      <c r="B227" s="307"/>
      <c r="C227" s="307"/>
      <c r="D227" s="307">
        <v>10555.767</v>
      </c>
      <c r="E227" s="307">
        <v>16667</v>
      </c>
      <c r="F227" s="307">
        <v>16667</v>
      </c>
      <c r="G227" s="307">
        <v>16667</v>
      </c>
      <c r="H227" s="307">
        <v>16667</v>
      </c>
      <c r="I227" s="307">
        <v>16667</v>
      </c>
      <c r="J227" s="307">
        <v>16667</v>
      </c>
      <c r="K227" s="307">
        <v>16667</v>
      </c>
      <c r="L227" s="307">
        <v>16667</v>
      </c>
      <c r="M227" s="307">
        <v>16667</v>
      </c>
      <c r="N227" s="328">
        <v>160558.76999999999</v>
      </c>
      <c r="O227" s="244"/>
    </row>
    <row r="228" spans="1:15">
      <c r="A228" s="323" t="s">
        <v>141</v>
      </c>
      <c r="B228" s="307"/>
      <c r="C228" s="307"/>
      <c r="D228" s="307">
        <v>4222.3067000000001</v>
      </c>
      <c r="E228" s="307">
        <v>6666.8</v>
      </c>
      <c r="F228" s="307">
        <v>6666.8</v>
      </c>
      <c r="G228" s="307">
        <v>6666.8</v>
      </c>
      <c r="H228" s="307">
        <v>6666.8</v>
      </c>
      <c r="I228" s="307">
        <v>6666.8</v>
      </c>
      <c r="J228" s="307">
        <v>6666.8</v>
      </c>
      <c r="K228" s="307">
        <v>6666.8</v>
      </c>
      <c r="L228" s="307">
        <v>6666.8</v>
      </c>
      <c r="M228" s="307">
        <v>6666.8</v>
      </c>
      <c r="N228" s="328">
        <v>64223.506999999998</v>
      </c>
      <c r="O228" s="244"/>
    </row>
    <row r="229" spans="1:15">
      <c r="A229" s="324" t="s">
        <v>142</v>
      </c>
      <c r="B229" s="307"/>
      <c r="C229" s="307"/>
      <c r="D229" s="307">
        <v>6333.46</v>
      </c>
      <c r="E229" s="307">
        <v>10000.200000000001</v>
      </c>
      <c r="F229" s="307">
        <v>10000.200000000001</v>
      </c>
      <c r="G229" s="307">
        <v>10000.200000000001</v>
      </c>
      <c r="H229" s="307">
        <v>10000.200000000001</v>
      </c>
      <c r="I229" s="307">
        <v>10000.200000000001</v>
      </c>
      <c r="J229" s="307">
        <v>10000.200000000001</v>
      </c>
      <c r="K229" s="307">
        <v>10000.200000000001</v>
      </c>
      <c r="L229" s="307">
        <v>10000.200000000001</v>
      </c>
      <c r="M229" s="307">
        <v>10000.200000000001</v>
      </c>
      <c r="N229" s="328">
        <v>96335.26</v>
      </c>
      <c r="O229" s="244"/>
    </row>
    <row r="230" spans="1:15">
      <c r="A230" s="323" t="s">
        <v>143</v>
      </c>
      <c r="B230" s="347"/>
      <c r="C230" s="307"/>
      <c r="D230" s="347">
        <v>21111.53</v>
      </c>
      <c r="E230" s="347">
        <v>33334</v>
      </c>
      <c r="F230" s="347">
        <v>33334</v>
      </c>
      <c r="G230" s="347">
        <v>33334</v>
      </c>
      <c r="H230" s="347">
        <v>33334</v>
      </c>
      <c r="I230" s="347">
        <v>33334</v>
      </c>
      <c r="J230" s="347">
        <v>33334</v>
      </c>
      <c r="K230" s="347">
        <v>33334</v>
      </c>
      <c r="L230" s="347">
        <v>33334</v>
      </c>
      <c r="M230" s="347">
        <v>33334</v>
      </c>
      <c r="N230" s="328">
        <v>21111.532999999999</v>
      </c>
      <c r="O230" s="244"/>
    </row>
    <row r="231" spans="1:15">
      <c r="A231" s="323" t="s">
        <v>144</v>
      </c>
      <c r="B231" s="307"/>
      <c r="C231" s="307"/>
      <c r="D231" s="307">
        <v>1267</v>
      </c>
      <c r="E231" s="307">
        <v>1800</v>
      </c>
      <c r="F231" s="307">
        <v>1800</v>
      </c>
      <c r="G231" s="307">
        <v>1800</v>
      </c>
      <c r="H231" s="307">
        <v>1800</v>
      </c>
      <c r="I231" s="307">
        <v>1800</v>
      </c>
      <c r="J231" s="307">
        <v>1800</v>
      </c>
      <c r="K231" s="307">
        <v>1800</v>
      </c>
      <c r="L231" s="307">
        <v>1800</v>
      </c>
      <c r="M231" s="307">
        <v>1800</v>
      </c>
      <c r="N231" s="328">
        <v>17467</v>
      </c>
      <c r="O231" s="244"/>
    </row>
    <row r="232" spans="1:15">
      <c r="A232" s="323" t="s">
        <v>145</v>
      </c>
      <c r="B232" s="307"/>
      <c r="C232" s="307"/>
      <c r="D232" s="307">
        <v>1372</v>
      </c>
      <c r="E232" s="307">
        <v>1950</v>
      </c>
      <c r="F232" s="307">
        <v>1950</v>
      </c>
      <c r="G232" s="307">
        <v>1950</v>
      </c>
      <c r="H232" s="307">
        <v>1950</v>
      </c>
      <c r="I232" s="307">
        <v>1950</v>
      </c>
      <c r="J232" s="307">
        <v>1950</v>
      </c>
      <c r="K232" s="307">
        <v>1950</v>
      </c>
      <c r="L232" s="307">
        <v>1950</v>
      </c>
      <c r="M232" s="307">
        <v>1950</v>
      </c>
      <c r="N232" s="328">
        <v>18922</v>
      </c>
      <c r="O232" s="244"/>
    </row>
    <row r="233" spans="1:15">
      <c r="A233" s="323" t="s">
        <v>81</v>
      </c>
      <c r="B233" s="307"/>
      <c r="C233" s="307"/>
      <c r="D233" s="307">
        <v>200</v>
      </c>
      <c r="E233" s="307">
        <v>200</v>
      </c>
      <c r="F233" s="307">
        <v>200</v>
      </c>
      <c r="G233" s="307">
        <v>200</v>
      </c>
      <c r="H233" s="307">
        <v>200</v>
      </c>
      <c r="I233" s="307">
        <v>200</v>
      </c>
      <c r="J233" s="307">
        <v>200</v>
      </c>
      <c r="K233" s="307">
        <v>200</v>
      </c>
      <c r="L233" s="307">
        <v>300</v>
      </c>
      <c r="M233" s="307">
        <v>200</v>
      </c>
      <c r="N233" s="328">
        <v>2100</v>
      </c>
      <c r="O233" s="244"/>
    </row>
    <row r="234" spans="1:15">
      <c r="A234" s="323" t="s">
        <v>153</v>
      </c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  <c r="M234" s="307"/>
      <c r="N234" s="328">
        <v>0</v>
      </c>
      <c r="O234" s="244"/>
    </row>
    <row r="235" spans="1:15">
      <c r="A235" s="323" t="s">
        <v>146</v>
      </c>
      <c r="B235" s="307"/>
      <c r="C235" s="307"/>
      <c r="D235" s="307">
        <v>25</v>
      </c>
      <c r="E235" s="307"/>
      <c r="F235" s="307"/>
      <c r="G235" s="307"/>
      <c r="H235" s="307"/>
      <c r="I235" s="307"/>
      <c r="J235" s="307">
        <v>25</v>
      </c>
      <c r="K235" s="307"/>
      <c r="L235" s="307"/>
      <c r="M235" s="307"/>
      <c r="N235" s="328">
        <v>50</v>
      </c>
      <c r="O235" s="244"/>
    </row>
    <row r="236" spans="1:15">
      <c r="A236" s="323" t="s">
        <v>147</v>
      </c>
      <c r="B236" s="307"/>
      <c r="C236" s="307"/>
      <c r="D236" s="307">
        <v>2864</v>
      </c>
      <c r="E236" s="307">
        <v>3950</v>
      </c>
      <c r="F236" s="307">
        <v>3950</v>
      </c>
      <c r="G236" s="307">
        <v>3950</v>
      </c>
      <c r="H236" s="307">
        <v>3950</v>
      </c>
      <c r="I236" s="307">
        <v>3950</v>
      </c>
      <c r="J236" s="307">
        <v>3975</v>
      </c>
      <c r="K236" s="307">
        <v>3950</v>
      </c>
      <c r="L236" s="307">
        <v>4050</v>
      </c>
      <c r="M236" s="307">
        <v>3950</v>
      </c>
      <c r="N236" s="328">
        <v>38539</v>
      </c>
      <c r="O236" s="244"/>
    </row>
    <row r="237" spans="1:15">
      <c r="A237" s="325" t="s">
        <v>148</v>
      </c>
      <c r="B237" s="307"/>
      <c r="C237" s="307"/>
      <c r="D237" s="307">
        <v>18247.532999999999</v>
      </c>
      <c r="E237" s="307">
        <v>29384</v>
      </c>
      <c r="F237" s="307">
        <v>29384</v>
      </c>
      <c r="G237" s="307">
        <v>29384</v>
      </c>
      <c r="H237" s="307">
        <v>29384</v>
      </c>
      <c r="I237" s="307">
        <v>29384</v>
      </c>
      <c r="J237" s="307">
        <v>29359</v>
      </c>
      <c r="K237" s="307">
        <v>29384</v>
      </c>
      <c r="L237" s="307">
        <v>29284</v>
      </c>
      <c r="M237" s="307">
        <v>29384</v>
      </c>
      <c r="N237" s="328">
        <v>282578.53000000003</v>
      </c>
      <c r="O237" s="244"/>
    </row>
    <row r="238" spans="1:15">
      <c r="A238" s="323" t="s">
        <v>149</v>
      </c>
      <c r="B238" s="307"/>
      <c r="C238" s="307"/>
      <c r="D238" s="307">
        <v>21111.532999999999</v>
      </c>
      <c r="E238" s="307">
        <v>33334</v>
      </c>
      <c r="F238" s="307">
        <v>33334</v>
      </c>
      <c r="G238" s="307">
        <v>33334</v>
      </c>
      <c r="H238" s="307">
        <v>33334</v>
      </c>
      <c r="I238" s="307">
        <v>33334</v>
      </c>
      <c r="J238" s="307">
        <v>33334</v>
      </c>
      <c r="K238" s="307">
        <v>33334</v>
      </c>
      <c r="L238" s="307">
        <v>33334</v>
      </c>
      <c r="M238" s="307">
        <v>33334</v>
      </c>
      <c r="N238" s="328">
        <v>21111.532999999999</v>
      </c>
      <c r="O238" s="244"/>
    </row>
    <row r="239" spans="1:15">
      <c r="A239" s="318"/>
      <c r="B239" s="244"/>
      <c r="C239" s="244"/>
      <c r="D239" s="244"/>
      <c r="E239" s="244"/>
      <c r="F239" s="244"/>
      <c r="G239" s="244"/>
      <c r="H239" s="244"/>
      <c r="I239" s="244"/>
      <c r="J239" s="244"/>
      <c r="K239" s="244"/>
      <c r="L239" s="244"/>
      <c r="M239" s="244"/>
      <c r="N239" s="244"/>
      <c r="O239" s="244"/>
    </row>
    <row r="240" spans="1:15">
      <c r="A240" s="318"/>
      <c r="B240" s="244"/>
      <c r="C240" s="244"/>
      <c r="D240" s="244"/>
      <c r="E240" s="244"/>
      <c r="F240" s="244"/>
      <c r="G240" s="244"/>
      <c r="H240" s="244"/>
      <c r="I240" s="244"/>
      <c r="J240" s="244"/>
      <c r="K240" s="244"/>
      <c r="L240" s="244"/>
      <c r="M240" s="244"/>
      <c r="N240" s="244"/>
      <c r="O240" s="244"/>
    </row>
    <row r="241" spans="1:15">
      <c r="A241" s="319" t="s">
        <v>158</v>
      </c>
      <c r="B241" s="271" t="s">
        <v>65</v>
      </c>
      <c r="C241" s="271" t="s">
        <v>66</v>
      </c>
      <c r="D241" s="271" t="s">
        <v>67</v>
      </c>
      <c r="E241" s="271" t="s">
        <v>68</v>
      </c>
      <c r="F241" s="271" t="s">
        <v>69</v>
      </c>
      <c r="G241" s="271" t="s">
        <v>70</v>
      </c>
      <c r="H241" s="271" t="s">
        <v>104</v>
      </c>
      <c r="I241" s="271" t="s">
        <v>72</v>
      </c>
      <c r="J241" s="271" t="s">
        <v>73</v>
      </c>
      <c r="K241" s="271" t="s">
        <v>74</v>
      </c>
      <c r="L241" s="271" t="s">
        <v>75</v>
      </c>
      <c r="M241" s="271" t="s">
        <v>76</v>
      </c>
      <c r="N241" s="346" t="s">
        <v>138</v>
      </c>
      <c r="O241" s="244"/>
    </row>
    <row r="242" spans="1:15">
      <c r="A242" s="323" t="s">
        <v>139</v>
      </c>
      <c r="B242" s="316">
        <v>12500</v>
      </c>
      <c r="C242" s="316">
        <v>12500</v>
      </c>
      <c r="D242" s="316">
        <v>12500</v>
      </c>
      <c r="E242" s="316">
        <v>12500</v>
      </c>
      <c r="F242" s="316">
        <v>12500</v>
      </c>
      <c r="G242" s="316">
        <v>12500</v>
      </c>
      <c r="H242" s="316">
        <v>12500</v>
      </c>
      <c r="I242" s="316">
        <v>12500</v>
      </c>
      <c r="J242" s="316">
        <v>12500</v>
      </c>
      <c r="K242" s="316">
        <v>12500</v>
      </c>
      <c r="L242" s="307">
        <v>16666.669999999998</v>
      </c>
      <c r="M242" s="307">
        <v>16666.669999999998</v>
      </c>
      <c r="N242" s="328">
        <v>158333.32999999999</v>
      </c>
      <c r="O242" s="244"/>
    </row>
    <row r="243" spans="1:15">
      <c r="A243" s="323" t="s">
        <v>140</v>
      </c>
      <c r="B243" s="316">
        <v>5000</v>
      </c>
      <c r="C243" s="316">
        <v>5000</v>
      </c>
      <c r="D243" s="316">
        <v>5000</v>
      </c>
      <c r="E243" s="316">
        <v>5000</v>
      </c>
      <c r="F243" s="316">
        <v>5000</v>
      </c>
      <c r="G243" s="316">
        <v>5000</v>
      </c>
      <c r="H243" s="316">
        <v>5000</v>
      </c>
      <c r="I243" s="316">
        <v>5000</v>
      </c>
      <c r="J243" s="316">
        <v>5000</v>
      </c>
      <c r="K243" s="316">
        <v>5000</v>
      </c>
      <c r="L243" s="307">
        <v>6666.6670000000004</v>
      </c>
      <c r="M243" s="307">
        <v>6666.6670000000004</v>
      </c>
      <c r="N243" s="328">
        <v>63333.332999999999</v>
      </c>
      <c r="O243" s="244"/>
    </row>
    <row r="244" spans="1:15">
      <c r="A244" s="323" t="s">
        <v>141</v>
      </c>
      <c r="B244" s="316">
        <v>7500</v>
      </c>
      <c r="C244" s="316">
        <v>7500</v>
      </c>
      <c r="D244" s="316">
        <v>7500</v>
      </c>
      <c r="E244" s="316">
        <v>7500</v>
      </c>
      <c r="F244" s="316">
        <v>7500</v>
      </c>
      <c r="G244" s="316">
        <v>7500</v>
      </c>
      <c r="H244" s="316">
        <v>7500</v>
      </c>
      <c r="I244" s="316">
        <v>7500</v>
      </c>
      <c r="J244" s="316">
        <v>7500</v>
      </c>
      <c r="K244" s="316">
        <v>7500</v>
      </c>
      <c r="L244" s="307">
        <v>10000</v>
      </c>
      <c r="M244" s="307">
        <v>10000</v>
      </c>
      <c r="N244" s="328">
        <v>95000</v>
      </c>
      <c r="O244" s="244"/>
    </row>
    <row r="245" spans="1:15">
      <c r="A245" s="324" t="s">
        <v>142</v>
      </c>
      <c r="B245" s="348"/>
      <c r="C245" s="348"/>
      <c r="D245" s="348"/>
      <c r="E245" s="348"/>
      <c r="F245" s="348"/>
      <c r="G245" s="348"/>
      <c r="H245" s="348"/>
      <c r="I245" s="348"/>
      <c r="J245" s="348"/>
      <c r="K245" s="348"/>
      <c r="L245" s="307">
        <v>5000</v>
      </c>
      <c r="M245" s="307">
        <v>5000</v>
      </c>
      <c r="N245" s="328">
        <v>10000</v>
      </c>
      <c r="O245" s="244"/>
    </row>
    <row r="246" spans="1:15">
      <c r="A246" s="323" t="s">
        <v>143</v>
      </c>
      <c r="B246" s="316">
        <v>25000</v>
      </c>
      <c r="C246" s="316">
        <v>25000</v>
      </c>
      <c r="D246" s="316">
        <v>25000</v>
      </c>
      <c r="E246" s="316">
        <v>25000</v>
      </c>
      <c r="F246" s="316">
        <v>25000</v>
      </c>
      <c r="G246" s="316">
        <v>25000</v>
      </c>
      <c r="H246" s="316">
        <v>25000</v>
      </c>
      <c r="I246" s="316">
        <v>25000</v>
      </c>
      <c r="J246" s="316">
        <v>25000</v>
      </c>
      <c r="K246" s="316">
        <v>25000</v>
      </c>
      <c r="L246" s="307">
        <v>33333.33</v>
      </c>
      <c r="M246" s="307">
        <v>33333.33</v>
      </c>
      <c r="N246" s="328">
        <v>316666.67</v>
      </c>
      <c r="O246" s="244"/>
    </row>
    <row r="247" spans="1:15">
      <c r="A247" s="323" t="s">
        <v>144</v>
      </c>
      <c r="B247" s="316">
        <v>1500</v>
      </c>
      <c r="C247" s="316">
        <v>1500</v>
      </c>
      <c r="D247" s="316">
        <v>1500</v>
      </c>
      <c r="E247" s="316">
        <v>1500</v>
      </c>
      <c r="F247" s="316">
        <v>1500</v>
      </c>
      <c r="G247" s="316">
        <v>1500</v>
      </c>
      <c r="H247" s="316">
        <v>1500</v>
      </c>
      <c r="I247" s="316">
        <v>1500</v>
      </c>
      <c r="J247" s="316">
        <v>1500</v>
      </c>
      <c r="K247" s="316">
        <v>1500</v>
      </c>
      <c r="L247" s="307">
        <v>1800</v>
      </c>
      <c r="M247" s="307">
        <v>1800</v>
      </c>
      <c r="N247" s="328">
        <v>18600</v>
      </c>
      <c r="O247" s="244"/>
    </row>
    <row r="248" spans="1:15">
      <c r="A248" s="323" t="s">
        <v>145</v>
      </c>
      <c r="B248" s="316">
        <v>1625</v>
      </c>
      <c r="C248" s="316">
        <v>1625</v>
      </c>
      <c r="D248" s="316">
        <v>1625</v>
      </c>
      <c r="E248" s="316">
        <v>1625</v>
      </c>
      <c r="F248" s="316">
        <v>1625</v>
      </c>
      <c r="G248" s="316">
        <v>1625</v>
      </c>
      <c r="H248" s="316">
        <v>1625</v>
      </c>
      <c r="I248" s="316">
        <v>1625</v>
      </c>
      <c r="J248" s="316">
        <v>1625</v>
      </c>
      <c r="K248" s="316">
        <v>1625</v>
      </c>
      <c r="L248" s="307">
        <v>1950</v>
      </c>
      <c r="M248" s="307">
        <v>1950</v>
      </c>
      <c r="N248" s="328">
        <v>20150</v>
      </c>
      <c r="O248" s="244"/>
    </row>
    <row r="249" spans="1:15">
      <c r="A249" s="323" t="s">
        <v>159</v>
      </c>
      <c r="B249" s="348"/>
      <c r="C249" s="348"/>
      <c r="D249" s="348"/>
      <c r="E249" s="348"/>
      <c r="F249" s="348"/>
      <c r="G249" s="348"/>
      <c r="H249" s="348"/>
      <c r="I249" s="348"/>
      <c r="J249" s="348"/>
      <c r="K249" s="316">
        <v>94</v>
      </c>
      <c r="L249" s="307">
        <v>125</v>
      </c>
      <c r="M249" s="307">
        <v>125</v>
      </c>
      <c r="N249" s="328">
        <v>344</v>
      </c>
      <c r="O249" s="244"/>
    </row>
    <row r="250" spans="1:15">
      <c r="A250" s="323" t="s">
        <v>81</v>
      </c>
      <c r="B250" s="348"/>
      <c r="C250" s="348"/>
      <c r="D250" s="348"/>
      <c r="E250" s="348"/>
      <c r="F250" s="348"/>
      <c r="G250" s="348"/>
      <c r="H250" s="348"/>
      <c r="I250" s="348"/>
      <c r="J250" s="348"/>
      <c r="K250" s="244"/>
      <c r="L250" s="316">
        <v>300</v>
      </c>
      <c r="M250" s="316">
        <v>300</v>
      </c>
      <c r="N250" s="328">
        <v>600</v>
      </c>
      <c r="O250" s="244"/>
    </row>
    <row r="251" spans="1:15">
      <c r="A251" s="323" t="s">
        <v>153</v>
      </c>
      <c r="B251" s="348"/>
      <c r="C251" s="348"/>
      <c r="D251" s="348"/>
      <c r="E251" s="348"/>
      <c r="F251" s="348"/>
      <c r="G251" s="348"/>
      <c r="H251" s="348"/>
      <c r="I251" s="348"/>
      <c r="J251" s="348"/>
      <c r="K251" s="316">
        <v>50000</v>
      </c>
      <c r="L251" s="271"/>
      <c r="M251" s="271"/>
      <c r="N251" s="328">
        <v>50000</v>
      </c>
      <c r="O251" s="244"/>
    </row>
    <row r="252" spans="1:15">
      <c r="A252" s="323" t="s">
        <v>146</v>
      </c>
      <c r="B252" s="348"/>
      <c r="C252" s="348"/>
      <c r="D252" s="316">
        <v>25</v>
      </c>
      <c r="E252" s="348"/>
      <c r="F252" s="348"/>
      <c r="G252" s="348"/>
      <c r="H252" s="348"/>
      <c r="I252" s="348"/>
      <c r="J252" s="316">
        <v>25</v>
      </c>
      <c r="K252" s="348"/>
      <c r="L252" s="271"/>
      <c r="M252" s="271"/>
      <c r="N252" s="328">
        <v>50</v>
      </c>
      <c r="O252" s="244"/>
    </row>
    <row r="253" spans="1:15">
      <c r="A253" s="323" t="s">
        <v>147</v>
      </c>
      <c r="B253" s="316">
        <v>3125</v>
      </c>
      <c r="C253" s="316">
        <v>3125</v>
      </c>
      <c r="D253" s="316">
        <v>3150</v>
      </c>
      <c r="E253" s="316">
        <v>3125</v>
      </c>
      <c r="F253" s="316">
        <v>3125</v>
      </c>
      <c r="G253" s="316">
        <v>3125</v>
      </c>
      <c r="H253" s="316">
        <v>3125</v>
      </c>
      <c r="I253" s="316">
        <v>3125</v>
      </c>
      <c r="J253" s="316">
        <v>3150</v>
      </c>
      <c r="K253" s="316">
        <v>3219</v>
      </c>
      <c r="L253" s="307">
        <v>4175</v>
      </c>
      <c r="M253" s="307">
        <v>4175</v>
      </c>
      <c r="N253" s="328">
        <v>39744</v>
      </c>
      <c r="O253" s="244"/>
    </row>
    <row r="254" spans="1:15">
      <c r="A254" s="325" t="s">
        <v>148</v>
      </c>
      <c r="B254" s="316">
        <v>21875</v>
      </c>
      <c r="C254" s="316">
        <v>21875</v>
      </c>
      <c r="D254" s="316">
        <v>21850</v>
      </c>
      <c r="E254" s="316">
        <v>21875</v>
      </c>
      <c r="F254" s="316">
        <v>21875</v>
      </c>
      <c r="G254" s="316">
        <v>21875</v>
      </c>
      <c r="H254" s="316">
        <v>21875</v>
      </c>
      <c r="I254" s="316">
        <v>21875</v>
      </c>
      <c r="J254" s="316">
        <v>21850</v>
      </c>
      <c r="K254" s="316">
        <v>71781</v>
      </c>
      <c r="L254" s="307">
        <v>34158.33</v>
      </c>
      <c r="M254" s="307">
        <v>34158.33</v>
      </c>
      <c r="N254" s="328">
        <v>336922.67</v>
      </c>
      <c r="O254" s="244"/>
    </row>
    <row r="255" spans="1:15">
      <c r="A255" s="323" t="s">
        <v>149</v>
      </c>
      <c r="B255" s="316">
        <v>25000</v>
      </c>
      <c r="C255" s="316">
        <v>25000</v>
      </c>
      <c r="D255" s="316">
        <v>25000</v>
      </c>
      <c r="E255" s="316">
        <v>25000</v>
      </c>
      <c r="F255" s="316">
        <v>25000</v>
      </c>
      <c r="G255" s="316">
        <v>25000</v>
      </c>
      <c r="H255" s="316">
        <v>25000</v>
      </c>
      <c r="I255" s="316">
        <v>25000</v>
      </c>
      <c r="J255" s="316">
        <v>25000</v>
      </c>
      <c r="K255" s="316">
        <v>25000</v>
      </c>
      <c r="L255" s="349">
        <v>38333.33</v>
      </c>
      <c r="M255" s="349">
        <v>38333.33</v>
      </c>
      <c r="N255" s="328">
        <v>326666.67</v>
      </c>
      <c r="O255" s="244"/>
    </row>
    <row r="256" spans="1:15">
      <c r="A256" s="318"/>
      <c r="B256" s="244"/>
      <c r="C256" s="244"/>
      <c r="D256" s="244"/>
      <c r="E256" s="244"/>
      <c r="F256" s="244"/>
      <c r="G256" s="244"/>
      <c r="H256" s="244"/>
      <c r="I256" s="244"/>
      <c r="J256" s="244"/>
      <c r="K256" s="244"/>
      <c r="L256" s="244"/>
      <c r="M256" s="244"/>
      <c r="N256" s="244"/>
      <c r="O256" s="244"/>
    </row>
    <row r="257" spans="1:15">
      <c r="A257" s="318"/>
      <c r="B257" s="244"/>
      <c r="C257" s="244"/>
      <c r="D257" s="244"/>
      <c r="E257" s="244"/>
      <c r="F257" s="244"/>
      <c r="G257" s="244"/>
      <c r="H257" s="244"/>
      <c r="I257" s="244"/>
      <c r="J257" s="244"/>
      <c r="K257" s="244"/>
      <c r="L257" s="244"/>
      <c r="M257" s="244"/>
      <c r="N257" s="244"/>
      <c r="O257" s="244"/>
    </row>
    <row r="258" spans="1:15">
      <c r="A258" s="350" t="s">
        <v>61</v>
      </c>
      <c r="B258" s="271" t="s">
        <v>65</v>
      </c>
      <c r="C258" s="271" t="s">
        <v>66</v>
      </c>
      <c r="D258" s="271" t="s">
        <v>67</v>
      </c>
      <c r="E258" s="271" t="s">
        <v>68</v>
      </c>
      <c r="F258" s="271" t="s">
        <v>69</v>
      </c>
      <c r="G258" s="271" t="s">
        <v>70</v>
      </c>
      <c r="H258" s="271" t="s">
        <v>104</v>
      </c>
      <c r="I258" s="271" t="s">
        <v>72</v>
      </c>
      <c r="J258" s="271" t="s">
        <v>73</v>
      </c>
      <c r="K258" s="271" t="s">
        <v>74</v>
      </c>
      <c r="L258" s="271" t="s">
        <v>75</v>
      </c>
      <c r="M258" s="271" t="s">
        <v>76</v>
      </c>
      <c r="N258" s="305" t="s">
        <v>138</v>
      </c>
      <c r="O258" s="244"/>
    </row>
    <row r="259" spans="1:15">
      <c r="A259" s="323" t="s">
        <v>139</v>
      </c>
      <c r="B259" s="271"/>
      <c r="C259" s="271"/>
      <c r="D259" s="271"/>
      <c r="E259" s="271"/>
      <c r="F259" s="307">
        <v>18346.77</v>
      </c>
      <c r="G259" s="307">
        <v>27083.333299999998</v>
      </c>
      <c r="H259" s="307">
        <v>27083.33</v>
      </c>
      <c r="I259" s="307">
        <v>27083.33</v>
      </c>
      <c r="J259" s="307">
        <v>27083.33</v>
      </c>
      <c r="K259" s="307">
        <v>27083.33</v>
      </c>
      <c r="L259" s="307">
        <v>27083.33</v>
      </c>
      <c r="M259" s="307">
        <v>27083.33</v>
      </c>
      <c r="N259" s="328">
        <v>207930.11</v>
      </c>
      <c r="O259" s="244"/>
    </row>
    <row r="260" spans="1:15">
      <c r="A260" s="323" t="s">
        <v>140</v>
      </c>
      <c r="B260" s="271"/>
      <c r="C260" s="271"/>
      <c r="D260" s="271"/>
      <c r="E260" s="271"/>
      <c r="F260" s="307">
        <v>7338.71</v>
      </c>
      <c r="G260" s="307">
        <v>10833.3333</v>
      </c>
      <c r="H260" s="307">
        <v>10833.33</v>
      </c>
      <c r="I260" s="307">
        <v>10833.33</v>
      </c>
      <c r="J260" s="307">
        <v>10833.33</v>
      </c>
      <c r="K260" s="307">
        <v>10833.33</v>
      </c>
      <c r="L260" s="307">
        <v>10833.33</v>
      </c>
      <c r="M260" s="307">
        <v>10833.33</v>
      </c>
      <c r="N260" s="328">
        <v>83172.043000000005</v>
      </c>
      <c r="O260" s="244"/>
    </row>
    <row r="261" spans="1:15">
      <c r="A261" s="323" t="s">
        <v>141</v>
      </c>
      <c r="B261" s="271"/>
      <c r="C261" s="271"/>
      <c r="D261" s="271"/>
      <c r="E261" s="271"/>
      <c r="F261" s="307">
        <v>11008.06</v>
      </c>
      <c r="G261" s="307">
        <v>16250</v>
      </c>
      <c r="H261" s="307">
        <v>16250</v>
      </c>
      <c r="I261" s="307">
        <v>16250</v>
      </c>
      <c r="J261" s="307">
        <v>16250</v>
      </c>
      <c r="K261" s="307">
        <v>16250</v>
      </c>
      <c r="L261" s="307">
        <v>16250</v>
      </c>
      <c r="M261" s="307">
        <v>16250</v>
      </c>
      <c r="N261" s="328">
        <v>124758.06</v>
      </c>
      <c r="O261" s="244"/>
    </row>
    <row r="262" spans="1:15">
      <c r="A262" s="324" t="s">
        <v>142</v>
      </c>
      <c r="B262" s="271"/>
      <c r="C262" s="271"/>
      <c r="D262" s="271"/>
      <c r="E262" s="271"/>
      <c r="F262" s="307">
        <v>4166.6670000000004</v>
      </c>
      <c r="G262" s="307">
        <v>4166.6666699999996</v>
      </c>
      <c r="H262" s="307">
        <v>4166.6670000000004</v>
      </c>
      <c r="I262" s="307">
        <v>4166.6670000000004</v>
      </c>
      <c r="J262" s="307">
        <v>4166.6670000000004</v>
      </c>
      <c r="K262" s="307">
        <v>4166.6670000000004</v>
      </c>
      <c r="L262" s="307">
        <v>4166.6670000000004</v>
      </c>
      <c r="M262" s="307">
        <v>4166.6670000000004</v>
      </c>
      <c r="N262" s="328">
        <v>33333.332999999999</v>
      </c>
      <c r="O262" s="244"/>
    </row>
    <row r="263" spans="1:15">
      <c r="A263" s="323" t="s">
        <v>143</v>
      </c>
      <c r="B263" s="271"/>
      <c r="C263" s="271"/>
      <c r="D263" s="271"/>
      <c r="E263" s="271"/>
      <c r="F263" s="307">
        <v>36693.550000000003</v>
      </c>
      <c r="G263" s="307">
        <v>54166.666700000002</v>
      </c>
      <c r="H263" s="307">
        <v>54166.67</v>
      </c>
      <c r="I263" s="307">
        <v>54166.67</v>
      </c>
      <c r="J263" s="307">
        <v>54166.67</v>
      </c>
      <c r="K263" s="307">
        <v>54166.67</v>
      </c>
      <c r="L263" s="307">
        <v>54166.67</v>
      </c>
      <c r="M263" s="307">
        <v>54166.67</v>
      </c>
      <c r="N263" s="328">
        <v>415860.22</v>
      </c>
      <c r="O263" s="244"/>
    </row>
    <row r="264" spans="1:15">
      <c r="A264" s="323" t="s">
        <v>144</v>
      </c>
      <c r="B264" s="271"/>
      <c r="C264" s="271"/>
      <c r="D264" s="271"/>
      <c r="E264" s="271"/>
      <c r="F264" s="307">
        <v>1800</v>
      </c>
      <c r="G264" s="307">
        <v>1800</v>
      </c>
      <c r="H264" s="307">
        <v>1800</v>
      </c>
      <c r="I264" s="307">
        <v>1800</v>
      </c>
      <c r="J264" s="307">
        <v>1800</v>
      </c>
      <c r="K264" s="307">
        <v>1800</v>
      </c>
      <c r="L264" s="307">
        <v>1800</v>
      </c>
      <c r="M264" s="307">
        <v>1800</v>
      </c>
      <c r="N264" s="328">
        <v>14400</v>
      </c>
      <c r="O264" s="244"/>
    </row>
    <row r="265" spans="1:15">
      <c r="A265" s="323" t="s">
        <v>145</v>
      </c>
      <c r="B265" s="271"/>
      <c r="C265" s="271"/>
      <c r="D265" s="271"/>
      <c r="E265" s="271"/>
      <c r="F265" s="307">
        <v>1950</v>
      </c>
      <c r="G265" s="307">
        <v>1950</v>
      </c>
      <c r="H265" s="307">
        <v>1950</v>
      </c>
      <c r="I265" s="307">
        <v>1950</v>
      </c>
      <c r="J265" s="307">
        <v>1950</v>
      </c>
      <c r="K265" s="307">
        <v>1950</v>
      </c>
      <c r="L265" s="307">
        <v>1950</v>
      </c>
      <c r="M265" s="307">
        <v>1950</v>
      </c>
      <c r="N265" s="328">
        <v>15600</v>
      </c>
      <c r="O265" s="244"/>
    </row>
    <row r="266" spans="1:15">
      <c r="A266" s="323" t="s">
        <v>81</v>
      </c>
      <c r="B266" s="271"/>
      <c r="C266" s="271"/>
      <c r="D266" s="271"/>
      <c r="E266" s="271"/>
      <c r="F266" s="307">
        <v>200</v>
      </c>
      <c r="G266" s="307">
        <v>200</v>
      </c>
      <c r="H266" s="307">
        <v>200</v>
      </c>
      <c r="I266" s="307">
        <v>200</v>
      </c>
      <c r="J266" s="307">
        <v>200</v>
      </c>
      <c r="K266" s="307">
        <v>200</v>
      </c>
      <c r="L266" s="307">
        <v>200</v>
      </c>
      <c r="M266" s="307">
        <v>200</v>
      </c>
      <c r="N266" s="328">
        <v>1600</v>
      </c>
      <c r="O266" s="244"/>
    </row>
    <row r="267" spans="1:15">
      <c r="A267" s="350" t="s">
        <v>160</v>
      </c>
      <c r="B267" s="271"/>
      <c r="C267" s="271"/>
      <c r="D267" s="271"/>
      <c r="E267" s="271"/>
      <c r="F267" s="271"/>
      <c r="G267" s="271"/>
      <c r="H267" s="271"/>
      <c r="I267" s="271"/>
      <c r="J267" s="271"/>
      <c r="K267" s="271"/>
      <c r="L267" s="271"/>
      <c r="M267" s="271"/>
      <c r="N267" s="328">
        <v>0</v>
      </c>
      <c r="O267" s="244"/>
    </row>
    <row r="268" spans="1:15">
      <c r="A268" s="323" t="s">
        <v>153</v>
      </c>
      <c r="B268" s="271"/>
      <c r="C268" s="271"/>
      <c r="D268" s="271"/>
      <c r="E268" s="271"/>
      <c r="F268" s="271"/>
      <c r="G268" s="271"/>
      <c r="H268" s="271"/>
      <c r="I268" s="271"/>
      <c r="J268" s="271"/>
      <c r="K268" s="271"/>
      <c r="L268" s="271"/>
      <c r="M268" s="271"/>
      <c r="N268" s="328">
        <v>0</v>
      </c>
      <c r="O268" s="244"/>
    </row>
    <row r="269" spans="1:15">
      <c r="A269" s="323" t="s">
        <v>146</v>
      </c>
      <c r="B269" s="271"/>
      <c r="C269" s="271"/>
      <c r="D269" s="271"/>
      <c r="E269" s="271"/>
      <c r="F269" s="271"/>
      <c r="G269" s="271"/>
      <c r="H269" s="271"/>
      <c r="I269" s="271"/>
      <c r="J269" s="307">
        <v>25</v>
      </c>
      <c r="K269" s="271"/>
      <c r="L269" s="271"/>
      <c r="M269" s="271"/>
      <c r="N269" s="328">
        <v>25</v>
      </c>
      <c r="O269" s="244"/>
    </row>
    <row r="270" spans="1:15">
      <c r="A270" s="323" t="s">
        <v>147</v>
      </c>
      <c r="B270" s="271"/>
      <c r="C270" s="271"/>
      <c r="D270" s="271"/>
      <c r="E270" s="271"/>
      <c r="F270" s="307">
        <v>3950</v>
      </c>
      <c r="G270" s="307">
        <v>3950</v>
      </c>
      <c r="H270" s="307">
        <v>3950</v>
      </c>
      <c r="I270" s="307">
        <v>3950</v>
      </c>
      <c r="J270" s="307">
        <v>3975</v>
      </c>
      <c r="K270" s="307">
        <v>3950</v>
      </c>
      <c r="L270" s="307">
        <v>3950</v>
      </c>
      <c r="M270" s="307">
        <v>3950</v>
      </c>
      <c r="N270" s="328">
        <v>31625</v>
      </c>
      <c r="O270" s="244"/>
    </row>
    <row r="271" spans="1:15">
      <c r="A271" s="325" t="s">
        <v>148</v>
      </c>
      <c r="B271" s="271"/>
      <c r="C271" s="271"/>
      <c r="D271" s="271"/>
      <c r="E271" s="271"/>
      <c r="F271" s="307">
        <v>36910.22</v>
      </c>
      <c r="G271" s="307">
        <v>54383.333299999998</v>
      </c>
      <c r="H271" s="307">
        <v>54383.33</v>
      </c>
      <c r="I271" s="307">
        <v>54383.33</v>
      </c>
      <c r="J271" s="307">
        <v>54358.33</v>
      </c>
      <c r="K271" s="307">
        <v>54383.33</v>
      </c>
      <c r="L271" s="307">
        <v>54383.33</v>
      </c>
      <c r="M271" s="307">
        <v>54383.33</v>
      </c>
      <c r="N271" s="328">
        <v>417568.55</v>
      </c>
      <c r="O271" s="244"/>
    </row>
    <row r="272" spans="1:15">
      <c r="A272" s="323" t="s">
        <v>149</v>
      </c>
      <c r="B272" s="271"/>
      <c r="C272" s="271"/>
      <c r="D272" s="271"/>
      <c r="E272" s="271"/>
      <c r="F272" s="307">
        <v>40860.22</v>
      </c>
      <c r="G272" s="307">
        <v>58333.333299999998</v>
      </c>
      <c r="H272" s="307">
        <v>58333.33</v>
      </c>
      <c r="I272" s="307">
        <v>58333.33</v>
      </c>
      <c r="J272" s="307">
        <v>58333.33</v>
      </c>
      <c r="K272" s="307">
        <v>58333.33</v>
      </c>
      <c r="L272" s="307">
        <v>58333.33</v>
      </c>
      <c r="M272" s="307">
        <v>58333.33</v>
      </c>
      <c r="N272" s="328">
        <v>449193.55</v>
      </c>
      <c r="O272" s="244"/>
    </row>
    <row r="273" spans="1:15">
      <c r="A273" s="318"/>
      <c r="B273" s="244"/>
      <c r="C273" s="244"/>
      <c r="D273" s="244"/>
      <c r="E273" s="244"/>
      <c r="F273" s="244"/>
      <c r="G273" s="244"/>
      <c r="H273" s="244"/>
      <c r="I273" s="244"/>
      <c r="J273" s="244"/>
      <c r="K273" s="244"/>
      <c r="L273" s="244"/>
      <c r="M273" s="244"/>
      <c r="N273" s="244"/>
      <c r="O273" s="244"/>
    </row>
    <row r="274" spans="1:15">
      <c r="A274" s="318"/>
      <c r="B274" s="244"/>
      <c r="C274" s="244"/>
      <c r="D274" s="244"/>
      <c r="E274" s="244"/>
      <c r="F274" s="244"/>
      <c r="G274" s="244"/>
      <c r="H274" s="244"/>
      <c r="I274" s="244"/>
      <c r="J274" s="244"/>
      <c r="K274" s="244"/>
      <c r="L274" s="244"/>
      <c r="M274" s="244"/>
      <c r="N274" s="244"/>
      <c r="O274" s="244"/>
    </row>
    <row r="275" spans="1:15">
      <c r="A275" s="244"/>
      <c r="B275" s="244"/>
      <c r="C275" s="244"/>
      <c r="D275" s="244"/>
      <c r="E275" s="244"/>
      <c r="F275" s="244"/>
      <c r="G275" s="244"/>
      <c r="H275" s="244"/>
      <c r="I275" s="244"/>
      <c r="J275" s="244"/>
      <c r="K275" s="244"/>
      <c r="L275" s="244"/>
      <c r="M275" s="244"/>
      <c r="N275" s="244"/>
      <c r="O275" s="244"/>
    </row>
    <row r="276" spans="1:15">
      <c r="A276" s="244"/>
      <c r="B276" s="244"/>
      <c r="C276" s="244"/>
      <c r="D276" s="244"/>
      <c r="E276" s="244"/>
      <c r="F276" s="244"/>
      <c r="G276" s="244"/>
      <c r="H276" s="244"/>
      <c r="I276" s="244"/>
      <c r="J276" s="244"/>
      <c r="K276" s="244"/>
      <c r="L276" s="244"/>
      <c r="M276" s="244"/>
      <c r="N276" s="244"/>
      <c r="O276" s="244"/>
    </row>
    <row r="277" spans="1:15">
      <c r="A277" s="244"/>
      <c r="B277" s="244"/>
      <c r="C277" s="244"/>
      <c r="D277" s="244"/>
      <c r="E277" s="244"/>
      <c r="F277" s="244"/>
      <c r="G277" s="244"/>
      <c r="H277" s="244"/>
      <c r="I277" s="244"/>
      <c r="J277" s="244"/>
      <c r="K277" s="244"/>
      <c r="L277" s="244"/>
      <c r="M277" s="244"/>
      <c r="N277" s="244"/>
      <c r="O277" s="244"/>
    </row>
    <row r="278" spans="1:15">
      <c r="A278" s="244"/>
      <c r="B278" s="244"/>
      <c r="C278" s="244"/>
      <c r="D278" s="244"/>
      <c r="E278" s="244"/>
      <c r="F278" s="244"/>
      <c r="G278" s="244"/>
      <c r="H278" s="244"/>
      <c r="I278" s="244"/>
      <c r="J278" s="244"/>
      <c r="K278" s="244"/>
      <c r="L278" s="244"/>
      <c r="M278" s="244"/>
      <c r="N278" s="244"/>
      <c r="O278" s="244"/>
    </row>
    <row r="279" spans="1:15">
      <c r="A279" s="244"/>
      <c r="B279" s="244"/>
      <c r="C279" s="244"/>
      <c r="D279" s="244"/>
      <c r="E279" s="244"/>
      <c r="F279" s="244"/>
      <c r="G279" s="244"/>
      <c r="H279" s="244"/>
      <c r="I279" s="244"/>
      <c r="J279" s="244"/>
      <c r="K279" s="244"/>
      <c r="L279" s="244"/>
      <c r="M279" s="244"/>
      <c r="N279" s="244"/>
      <c r="O279" s="244"/>
    </row>
    <row r="280" spans="1:15">
      <c r="A280" s="244"/>
      <c r="B280" s="244"/>
      <c r="C280" s="244"/>
      <c r="D280" s="244"/>
      <c r="E280" s="244"/>
      <c r="F280" s="244"/>
      <c r="G280" s="244"/>
      <c r="H280" s="244"/>
      <c r="I280" s="244"/>
      <c r="J280" s="244"/>
      <c r="K280" s="244"/>
      <c r="L280" s="244"/>
      <c r="M280" s="244"/>
      <c r="N280" s="244"/>
      <c r="O280" s="244"/>
    </row>
    <row r="281" spans="1:15">
      <c r="A281" s="244"/>
      <c r="B281" s="244"/>
      <c r="C281" s="244"/>
      <c r="D281" s="244"/>
      <c r="E281" s="244"/>
      <c r="F281" s="244"/>
      <c r="G281" s="244"/>
      <c r="H281" s="244"/>
      <c r="I281" s="244"/>
      <c r="J281" s="244"/>
      <c r="K281" s="244"/>
      <c r="L281" s="244"/>
      <c r="M281" s="244"/>
      <c r="N281" s="244"/>
      <c r="O281" s="244"/>
    </row>
    <row r="282" spans="1:15">
      <c r="A282" s="244"/>
      <c r="B282" s="244"/>
      <c r="C282" s="244"/>
      <c r="D282" s="244"/>
      <c r="E282" s="244"/>
      <c r="F282" s="244"/>
      <c r="G282" s="244"/>
      <c r="H282" s="244"/>
      <c r="I282" s="244"/>
      <c r="J282" s="244"/>
      <c r="K282" s="244"/>
      <c r="L282" s="244"/>
      <c r="M282" s="244"/>
      <c r="N282" s="244"/>
      <c r="O282" s="244"/>
    </row>
    <row r="283" spans="1:15">
      <c r="A283" s="244"/>
      <c r="B283" s="244"/>
      <c r="C283" s="244"/>
      <c r="D283" s="244"/>
      <c r="E283" s="244"/>
      <c r="F283" s="244"/>
      <c r="G283" s="244"/>
      <c r="H283" s="244"/>
      <c r="I283" s="244"/>
      <c r="J283" s="244"/>
      <c r="K283" s="244"/>
      <c r="L283" s="244"/>
      <c r="M283" s="244"/>
      <c r="N283" s="244"/>
      <c r="O283" s="244"/>
    </row>
    <row r="284" spans="1:15">
      <c r="A284" s="244"/>
      <c r="B284" s="244"/>
      <c r="C284" s="244"/>
      <c r="D284" s="244"/>
      <c r="E284" s="244"/>
      <c r="F284" s="244"/>
      <c r="G284" s="244"/>
      <c r="H284" s="244"/>
      <c r="I284" s="244"/>
      <c r="J284" s="244"/>
      <c r="K284" s="244"/>
      <c r="L284" s="244"/>
      <c r="M284" s="244"/>
      <c r="N284" s="244"/>
      <c r="O284" s="244"/>
    </row>
    <row r="285" spans="1:15">
      <c r="A285" s="244"/>
      <c r="B285" s="244"/>
      <c r="C285" s="244"/>
      <c r="D285" s="244"/>
      <c r="E285" s="244"/>
      <c r="F285" s="244"/>
      <c r="G285" s="244"/>
      <c r="H285" s="244"/>
      <c r="I285" s="244"/>
      <c r="J285" s="244"/>
      <c r="K285" s="244"/>
      <c r="L285" s="244"/>
      <c r="M285" s="244"/>
      <c r="N285" s="244"/>
      <c r="O285" s="244"/>
    </row>
    <row r="286" spans="1:15">
      <c r="A286" s="244"/>
      <c r="B286" s="244"/>
      <c r="C286" s="244"/>
      <c r="D286" s="244"/>
      <c r="E286" s="244"/>
      <c r="F286" s="244"/>
      <c r="G286" s="244"/>
      <c r="H286" s="244"/>
      <c r="I286" s="244"/>
      <c r="J286" s="244"/>
      <c r="K286" s="244"/>
      <c r="L286" s="244"/>
      <c r="M286" s="244"/>
      <c r="N286" s="244"/>
      <c r="O286" s="244"/>
    </row>
    <row r="287" spans="1:15">
      <c r="A287" s="244"/>
      <c r="B287" s="244"/>
      <c r="C287" s="244"/>
      <c r="D287" s="244"/>
      <c r="E287" s="244"/>
      <c r="F287" s="244"/>
      <c r="G287" s="244"/>
      <c r="H287" s="244"/>
      <c r="I287" s="244"/>
      <c r="J287" s="244"/>
      <c r="K287" s="244"/>
      <c r="L287" s="244"/>
      <c r="M287" s="244"/>
      <c r="N287" s="244"/>
      <c r="O287" s="2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Tech Increment details</vt:lpstr>
      <vt:lpstr>Sheet1</vt:lpstr>
      <vt:lpstr>High Salary </vt:lpstr>
      <vt:lpstr>Tech salary FY25-26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Eshrat Khan</dc:creator>
  <cp:lastModifiedBy>Sandeep Jain</cp:lastModifiedBy>
  <dcterms:created xsi:type="dcterms:W3CDTF">2024-05-08T13:54:13Z</dcterms:created>
  <dcterms:modified xsi:type="dcterms:W3CDTF">2026-06-01T10:13:29Z</dcterms:modified>
</cp:coreProperties>
</file>